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\Desktop\UNI\abet\candidatos\modelo_epi_lima\"/>
    </mc:Choice>
  </mc:AlternateContent>
  <xr:revisionPtr revIDLastSave="0" documentId="13_ncr:1_{C84054FC-BB3F-4CDE-95E8-F37F8159CB5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BASE_DATOS">Sheet1!$B$1:$I$750</definedName>
  </definedNames>
  <calcPr calcId="191029"/>
</workbook>
</file>

<file path=xl/calcChain.xml><?xml version="1.0" encoding="utf-8"?>
<calcChain xmlns="http://schemas.openxmlformats.org/spreadsheetml/2006/main">
  <c r="I646" i="1" l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645" i="1"/>
  <c r="O3" i="1"/>
  <c r="U3" i="1" s="1"/>
  <c r="O4" i="1"/>
  <c r="U4" i="1" s="1"/>
  <c r="O5" i="1"/>
  <c r="U5" i="1" s="1"/>
  <c r="O6" i="1"/>
  <c r="U6" i="1" s="1"/>
  <c r="O7" i="1"/>
  <c r="U7" i="1" s="1"/>
  <c r="O8" i="1"/>
  <c r="U8" i="1" s="1"/>
  <c r="O9" i="1"/>
  <c r="U9" i="1" s="1"/>
  <c r="O2" i="1"/>
  <c r="U2" i="1" s="1"/>
  <c r="R3" i="1" l="1"/>
  <c r="T3" i="1"/>
  <c r="P3" i="1"/>
  <c r="Q3" i="1"/>
  <c r="R7" i="1"/>
  <c r="T7" i="1"/>
  <c r="P7" i="1"/>
  <c r="Q7" i="1"/>
  <c r="P9" i="1"/>
  <c r="Q9" i="1"/>
  <c r="R9" i="1"/>
  <c r="T9" i="1"/>
  <c r="T8" i="1"/>
  <c r="P8" i="1"/>
  <c r="Q8" i="1"/>
  <c r="R8" i="1"/>
  <c r="P5" i="1"/>
  <c r="Q5" i="1"/>
  <c r="R5" i="1"/>
  <c r="T5" i="1"/>
  <c r="P6" i="1"/>
  <c r="R6" i="1"/>
  <c r="Q6" i="1"/>
  <c r="T6" i="1"/>
  <c r="T4" i="1"/>
  <c r="P4" i="1"/>
  <c r="Q4" i="1"/>
  <c r="R4" i="1"/>
  <c r="P2" i="1"/>
  <c r="T2" i="1"/>
  <c r="R2" i="1"/>
  <c r="Q2" i="1"/>
  <c r="E750" i="1"/>
  <c r="E749" i="1"/>
  <c r="H749" i="1" s="1"/>
  <c r="E748" i="1"/>
  <c r="H748" i="1" s="1"/>
  <c r="E747" i="1"/>
  <c r="H747" i="1" s="1"/>
  <c r="E746" i="1"/>
  <c r="H746" i="1" s="1"/>
  <c r="E745" i="1"/>
  <c r="H745" i="1" s="1"/>
  <c r="E744" i="1"/>
  <c r="H744" i="1" s="1"/>
  <c r="E743" i="1"/>
  <c r="H743" i="1" s="1"/>
  <c r="E742" i="1"/>
  <c r="H742" i="1" s="1"/>
  <c r="E741" i="1"/>
  <c r="H741" i="1" s="1"/>
  <c r="E740" i="1"/>
  <c r="H740" i="1" s="1"/>
  <c r="E739" i="1"/>
  <c r="H739" i="1" s="1"/>
  <c r="E738" i="1"/>
  <c r="H738" i="1" s="1"/>
  <c r="E737" i="1"/>
  <c r="H737" i="1" s="1"/>
  <c r="E736" i="1"/>
  <c r="H736" i="1" s="1"/>
  <c r="E735" i="1"/>
  <c r="E734" i="1"/>
  <c r="H734" i="1" s="1"/>
  <c r="E733" i="1"/>
  <c r="H733" i="1" s="1"/>
  <c r="E732" i="1"/>
  <c r="H732" i="1" s="1"/>
  <c r="E731" i="1"/>
  <c r="H731" i="1" s="1"/>
  <c r="E730" i="1"/>
  <c r="H730" i="1" s="1"/>
  <c r="E729" i="1"/>
  <c r="H729" i="1" s="1"/>
  <c r="E728" i="1"/>
  <c r="H728" i="1" s="1"/>
  <c r="E727" i="1"/>
  <c r="H727" i="1" s="1"/>
  <c r="E726" i="1"/>
  <c r="H726" i="1" s="1"/>
  <c r="E725" i="1"/>
  <c r="H725" i="1" s="1"/>
  <c r="E724" i="1"/>
  <c r="H724" i="1" s="1"/>
  <c r="E723" i="1"/>
  <c r="H723" i="1" s="1"/>
  <c r="E722" i="1"/>
  <c r="H722" i="1" s="1"/>
  <c r="E721" i="1"/>
  <c r="H721" i="1" s="1"/>
  <c r="E720" i="1"/>
  <c r="E719" i="1"/>
  <c r="H719" i="1" s="1"/>
  <c r="E718" i="1"/>
  <c r="H718" i="1" s="1"/>
  <c r="E717" i="1"/>
  <c r="H717" i="1" s="1"/>
  <c r="E716" i="1"/>
  <c r="H716" i="1" s="1"/>
  <c r="E715" i="1"/>
  <c r="H715" i="1" s="1"/>
  <c r="E714" i="1"/>
  <c r="H714" i="1" s="1"/>
  <c r="E713" i="1"/>
  <c r="H713" i="1" s="1"/>
  <c r="E712" i="1"/>
  <c r="H712" i="1" s="1"/>
  <c r="E711" i="1"/>
  <c r="H711" i="1" s="1"/>
  <c r="E710" i="1"/>
  <c r="H710" i="1" s="1"/>
  <c r="E709" i="1"/>
  <c r="H709" i="1" s="1"/>
  <c r="E708" i="1"/>
  <c r="H708" i="1" s="1"/>
  <c r="E707" i="1"/>
  <c r="H707" i="1" s="1"/>
  <c r="E706" i="1"/>
  <c r="H706" i="1" s="1"/>
  <c r="E705" i="1"/>
  <c r="E704" i="1"/>
  <c r="H704" i="1" s="1"/>
  <c r="E703" i="1"/>
  <c r="H703" i="1" s="1"/>
  <c r="E702" i="1"/>
  <c r="H702" i="1" s="1"/>
  <c r="E701" i="1"/>
  <c r="H701" i="1" s="1"/>
  <c r="E700" i="1"/>
  <c r="H700" i="1" s="1"/>
  <c r="E699" i="1"/>
  <c r="H699" i="1" s="1"/>
  <c r="E698" i="1"/>
  <c r="H698" i="1" s="1"/>
  <c r="E697" i="1"/>
  <c r="H697" i="1" s="1"/>
  <c r="E696" i="1"/>
  <c r="H696" i="1" s="1"/>
  <c r="E695" i="1"/>
  <c r="H695" i="1" s="1"/>
  <c r="E694" i="1"/>
  <c r="H694" i="1" s="1"/>
  <c r="E693" i="1"/>
  <c r="H693" i="1" s="1"/>
  <c r="E692" i="1"/>
  <c r="H692" i="1" s="1"/>
  <c r="E691" i="1"/>
  <c r="H691" i="1" s="1"/>
  <c r="E690" i="1"/>
  <c r="E689" i="1"/>
  <c r="H689" i="1" s="1"/>
  <c r="E688" i="1"/>
  <c r="H688" i="1" s="1"/>
  <c r="E687" i="1"/>
  <c r="H687" i="1" s="1"/>
  <c r="E686" i="1"/>
  <c r="H686" i="1" s="1"/>
  <c r="E685" i="1"/>
  <c r="H685" i="1" s="1"/>
  <c r="E684" i="1"/>
  <c r="H684" i="1" s="1"/>
  <c r="E683" i="1"/>
  <c r="H683" i="1" s="1"/>
  <c r="E682" i="1"/>
  <c r="H682" i="1" s="1"/>
  <c r="E681" i="1"/>
  <c r="H681" i="1" s="1"/>
  <c r="E680" i="1"/>
  <c r="H680" i="1" s="1"/>
  <c r="E679" i="1"/>
  <c r="H679" i="1" s="1"/>
  <c r="E678" i="1"/>
  <c r="H678" i="1" s="1"/>
  <c r="E677" i="1"/>
  <c r="H677" i="1" s="1"/>
  <c r="E676" i="1"/>
  <c r="H676" i="1" s="1"/>
  <c r="E675" i="1"/>
  <c r="E674" i="1"/>
  <c r="H674" i="1" s="1"/>
  <c r="E673" i="1"/>
  <c r="H673" i="1" s="1"/>
  <c r="E672" i="1"/>
  <c r="H672" i="1" s="1"/>
  <c r="E671" i="1"/>
  <c r="H671" i="1" s="1"/>
  <c r="E670" i="1"/>
  <c r="H670" i="1" s="1"/>
  <c r="E669" i="1"/>
  <c r="H669" i="1" s="1"/>
  <c r="E668" i="1"/>
  <c r="H668" i="1" s="1"/>
  <c r="E667" i="1"/>
  <c r="H667" i="1" s="1"/>
  <c r="E666" i="1"/>
  <c r="H666" i="1" s="1"/>
  <c r="E665" i="1"/>
  <c r="H665" i="1" s="1"/>
  <c r="E664" i="1"/>
  <c r="H664" i="1" s="1"/>
  <c r="E663" i="1"/>
  <c r="H663" i="1" s="1"/>
  <c r="E662" i="1"/>
  <c r="H662" i="1" s="1"/>
  <c r="E661" i="1"/>
  <c r="H661" i="1" s="1"/>
  <c r="E660" i="1"/>
  <c r="E659" i="1"/>
  <c r="H659" i="1" s="1"/>
  <c r="E658" i="1"/>
  <c r="H658" i="1" s="1"/>
  <c r="E657" i="1"/>
  <c r="H657" i="1" s="1"/>
  <c r="E656" i="1"/>
  <c r="H656" i="1" s="1"/>
  <c r="E655" i="1"/>
  <c r="H655" i="1" s="1"/>
  <c r="E654" i="1"/>
  <c r="H654" i="1" s="1"/>
  <c r="E653" i="1"/>
  <c r="H653" i="1" s="1"/>
  <c r="E652" i="1"/>
  <c r="H652" i="1" s="1"/>
  <c r="E651" i="1"/>
  <c r="H651" i="1" s="1"/>
  <c r="E650" i="1"/>
  <c r="H650" i="1" s="1"/>
  <c r="E649" i="1"/>
  <c r="H649" i="1" s="1"/>
  <c r="E648" i="1"/>
  <c r="H648" i="1" s="1"/>
  <c r="E647" i="1"/>
  <c r="H647" i="1" s="1"/>
  <c r="E646" i="1"/>
  <c r="H646" i="1" s="1"/>
  <c r="E645" i="1"/>
  <c r="E644" i="1"/>
  <c r="H644" i="1" s="1"/>
  <c r="E643" i="1"/>
  <c r="H643" i="1" s="1"/>
  <c r="E642" i="1"/>
  <c r="H642" i="1" s="1"/>
  <c r="E641" i="1"/>
  <c r="H641" i="1" s="1"/>
  <c r="E640" i="1"/>
  <c r="H640" i="1" s="1"/>
  <c r="E639" i="1"/>
  <c r="H639" i="1" s="1"/>
  <c r="E638" i="1"/>
  <c r="H638" i="1" s="1"/>
  <c r="E637" i="1"/>
  <c r="H637" i="1" s="1"/>
  <c r="E636" i="1"/>
  <c r="H636" i="1" s="1"/>
  <c r="E635" i="1"/>
  <c r="H635" i="1" s="1"/>
  <c r="E634" i="1"/>
  <c r="H634" i="1" s="1"/>
  <c r="E633" i="1"/>
  <c r="H633" i="1" s="1"/>
  <c r="E632" i="1"/>
  <c r="H632" i="1" s="1"/>
  <c r="E631" i="1"/>
  <c r="H631" i="1" s="1"/>
  <c r="E630" i="1"/>
  <c r="H630" i="1" s="1"/>
  <c r="E629" i="1"/>
  <c r="H629" i="1" s="1"/>
  <c r="E628" i="1"/>
  <c r="H628" i="1" s="1"/>
  <c r="E627" i="1"/>
  <c r="H627" i="1" s="1"/>
  <c r="E626" i="1"/>
  <c r="H626" i="1" s="1"/>
  <c r="E625" i="1"/>
  <c r="H625" i="1" s="1"/>
  <c r="E624" i="1"/>
  <c r="H624" i="1" s="1"/>
  <c r="E623" i="1"/>
  <c r="H623" i="1" s="1"/>
  <c r="E622" i="1"/>
  <c r="H622" i="1" s="1"/>
  <c r="E621" i="1"/>
  <c r="H621" i="1" s="1"/>
  <c r="E620" i="1"/>
  <c r="H620" i="1" s="1"/>
  <c r="E619" i="1"/>
  <c r="H619" i="1" s="1"/>
  <c r="E618" i="1"/>
  <c r="H618" i="1" s="1"/>
  <c r="E617" i="1"/>
  <c r="H617" i="1" s="1"/>
  <c r="E616" i="1"/>
  <c r="H616" i="1" s="1"/>
  <c r="E615" i="1"/>
  <c r="H615" i="1" s="1"/>
  <c r="E614" i="1"/>
  <c r="H614" i="1" s="1"/>
  <c r="E613" i="1"/>
  <c r="H613" i="1" s="1"/>
  <c r="E612" i="1"/>
  <c r="H612" i="1" s="1"/>
  <c r="E611" i="1"/>
  <c r="H611" i="1" s="1"/>
  <c r="E610" i="1"/>
  <c r="H610" i="1" s="1"/>
  <c r="E609" i="1"/>
  <c r="H609" i="1" s="1"/>
  <c r="E608" i="1"/>
  <c r="H608" i="1" s="1"/>
  <c r="E607" i="1"/>
  <c r="H607" i="1" s="1"/>
  <c r="E606" i="1"/>
  <c r="H606" i="1" s="1"/>
  <c r="E605" i="1"/>
  <c r="H605" i="1" s="1"/>
  <c r="E604" i="1"/>
  <c r="H604" i="1" s="1"/>
  <c r="E603" i="1"/>
  <c r="H603" i="1" s="1"/>
  <c r="E602" i="1"/>
  <c r="H602" i="1" s="1"/>
  <c r="E601" i="1"/>
  <c r="H601" i="1" s="1"/>
  <c r="E600" i="1"/>
  <c r="H600" i="1" s="1"/>
  <c r="E599" i="1"/>
  <c r="H599" i="1" s="1"/>
  <c r="E598" i="1"/>
  <c r="H598" i="1" s="1"/>
  <c r="E597" i="1"/>
  <c r="H597" i="1" s="1"/>
  <c r="E596" i="1"/>
  <c r="H596" i="1" s="1"/>
  <c r="E595" i="1"/>
  <c r="H595" i="1" s="1"/>
  <c r="E594" i="1"/>
  <c r="H594" i="1" s="1"/>
  <c r="E593" i="1"/>
  <c r="H593" i="1" s="1"/>
  <c r="E592" i="1"/>
  <c r="H592" i="1" s="1"/>
  <c r="E591" i="1"/>
  <c r="H591" i="1" s="1"/>
  <c r="E590" i="1"/>
  <c r="H590" i="1" s="1"/>
  <c r="E589" i="1"/>
  <c r="H589" i="1" s="1"/>
  <c r="E588" i="1"/>
  <c r="H588" i="1" s="1"/>
  <c r="E587" i="1"/>
  <c r="H587" i="1" s="1"/>
  <c r="E586" i="1"/>
  <c r="H586" i="1" s="1"/>
  <c r="E585" i="1"/>
  <c r="H585" i="1" s="1"/>
  <c r="E584" i="1"/>
  <c r="H584" i="1" s="1"/>
  <c r="E583" i="1"/>
  <c r="H583" i="1" s="1"/>
  <c r="E582" i="1"/>
  <c r="H582" i="1" s="1"/>
  <c r="E581" i="1"/>
  <c r="H581" i="1" s="1"/>
  <c r="E580" i="1"/>
  <c r="H580" i="1" s="1"/>
  <c r="E579" i="1"/>
  <c r="H579" i="1" s="1"/>
  <c r="E578" i="1"/>
  <c r="H578" i="1" s="1"/>
  <c r="E577" i="1"/>
  <c r="H577" i="1" s="1"/>
  <c r="E576" i="1"/>
  <c r="H576" i="1" s="1"/>
  <c r="E575" i="1"/>
  <c r="H575" i="1" s="1"/>
  <c r="E574" i="1"/>
  <c r="H574" i="1" s="1"/>
  <c r="E573" i="1"/>
  <c r="H573" i="1" s="1"/>
  <c r="E572" i="1"/>
  <c r="H572" i="1" s="1"/>
  <c r="E571" i="1"/>
  <c r="H571" i="1" s="1"/>
  <c r="E570" i="1"/>
  <c r="H570" i="1" s="1"/>
  <c r="E569" i="1"/>
  <c r="H569" i="1" s="1"/>
  <c r="E568" i="1"/>
  <c r="H568" i="1" s="1"/>
  <c r="E567" i="1"/>
  <c r="H567" i="1" s="1"/>
  <c r="E566" i="1"/>
  <c r="H566" i="1" s="1"/>
  <c r="E565" i="1"/>
  <c r="H565" i="1" s="1"/>
  <c r="E564" i="1"/>
  <c r="H564" i="1" s="1"/>
  <c r="E563" i="1"/>
  <c r="H563" i="1" s="1"/>
  <c r="E562" i="1"/>
  <c r="H562" i="1" s="1"/>
  <c r="E561" i="1"/>
  <c r="H561" i="1" s="1"/>
  <c r="E560" i="1"/>
  <c r="H560" i="1" s="1"/>
  <c r="E559" i="1"/>
  <c r="H559" i="1" s="1"/>
  <c r="E558" i="1"/>
  <c r="H558" i="1" s="1"/>
  <c r="E557" i="1"/>
  <c r="H557" i="1" s="1"/>
  <c r="E556" i="1"/>
  <c r="H556" i="1" s="1"/>
  <c r="E555" i="1"/>
  <c r="H555" i="1" s="1"/>
  <c r="E554" i="1"/>
  <c r="H554" i="1" s="1"/>
  <c r="E553" i="1"/>
  <c r="H553" i="1" s="1"/>
  <c r="E552" i="1"/>
  <c r="H552" i="1" s="1"/>
  <c r="E551" i="1"/>
  <c r="H551" i="1" s="1"/>
  <c r="E550" i="1"/>
  <c r="H550" i="1" s="1"/>
  <c r="E549" i="1"/>
  <c r="H549" i="1" s="1"/>
  <c r="E548" i="1"/>
  <c r="H548" i="1" s="1"/>
  <c r="E547" i="1"/>
  <c r="H547" i="1" s="1"/>
  <c r="E546" i="1"/>
  <c r="H546" i="1" s="1"/>
  <c r="E545" i="1"/>
  <c r="H545" i="1" s="1"/>
  <c r="E544" i="1"/>
  <c r="H544" i="1" s="1"/>
  <c r="E543" i="1"/>
  <c r="H543" i="1" s="1"/>
  <c r="E542" i="1"/>
  <c r="H542" i="1" s="1"/>
  <c r="E541" i="1"/>
  <c r="H541" i="1" s="1"/>
  <c r="E540" i="1"/>
  <c r="H540" i="1" s="1"/>
  <c r="E539" i="1"/>
  <c r="H539" i="1" s="1"/>
  <c r="E538" i="1"/>
  <c r="H538" i="1" s="1"/>
  <c r="E537" i="1"/>
  <c r="H537" i="1" s="1"/>
  <c r="E536" i="1"/>
  <c r="H536" i="1" s="1"/>
  <c r="E535" i="1"/>
  <c r="H535" i="1" s="1"/>
  <c r="E534" i="1"/>
  <c r="H534" i="1" s="1"/>
  <c r="E533" i="1"/>
  <c r="H533" i="1" s="1"/>
  <c r="E532" i="1"/>
  <c r="H532" i="1" s="1"/>
  <c r="E531" i="1"/>
  <c r="H531" i="1" s="1"/>
  <c r="E530" i="1"/>
  <c r="H530" i="1" s="1"/>
  <c r="E529" i="1"/>
  <c r="H529" i="1" s="1"/>
  <c r="E528" i="1"/>
  <c r="H528" i="1" s="1"/>
  <c r="E527" i="1"/>
  <c r="H527" i="1" s="1"/>
  <c r="E526" i="1"/>
  <c r="H526" i="1" s="1"/>
  <c r="E525" i="1"/>
  <c r="H525" i="1" s="1"/>
  <c r="E524" i="1"/>
  <c r="H524" i="1" s="1"/>
  <c r="E523" i="1"/>
  <c r="H523" i="1" s="1"/>
  <c r="E522" i="1"/>
  <c r="H522" i="1" s="1"/>
  <c r="E521" i="1"/>
  <c r="H521" i="1" s="1"/>
  <c r="E520" i="1"/>
  <c r="H520" i="1" s="1"/>
  <c r="E519" i="1"/>
  <c r="H519" i="1" s="1"/>
  <c r="E518" i="1"/>
  <c r="H518" i="1" s="1"/>
  <c r="E517" i="1"/>
  <c r="H517" i="1" s="1"/>
  <c r="E516" i="1"/>
  <c r="H516" i="1" s="1"/>
  <c r="E515" i="1"/>
  <c r="H515" i="1" s="1"/>
  <c r="E514" i="1"/>
  <c r="H514" i="1" s="1"/>
  <c r="E513" i="1"/>
  <c r="H513" i="1" s="1"/>
  <c r="E512" i="1"/>
  <c r="H512" i="1" s="1"/>
  <c r="E511" i="1"/>
  <c r="H511" i="1" s="1"/>
  <c r="E510" i="1"/>
  <c r="H510" i="1" s="1"/>
  <c r="E509" i="1"/>
  <c r="H509" i="1" s="1"/>
  <c r="E508" i="1"/>
  <c r="H508" i="1" s="1"/>
  <c r="E507" i="1"/>
  <c r="H507" i="1" s="1"/>
  <c r="E506" i="1"/>
  <c r="H506" i="1" s="1"/>
  <c r="E505" i="1"/>
  <c r="H505" i="1" s="1"/>
  <c r="E504" i="1"/>
  <c r="H504" i="1" s="1"/>
  <c r="E503" i="1"/>
  <c r="H503" i="1" s="1"/>
  <c r="E502" i="1"/>
  <c r="H502" i="1" s="1"/>
  <c r="E501" i="1"/>
  <c r="H501" i="1" s="1"/>
  <c r="E500" i="1"/>
  <c r="H500" i="1" s="1"/>
  <c r="E499" i="1"/>
  <c r="H499" i="1" s="1"/>
  <c r="E498" i="1"/>
  <c r="H498" i="1" s="1"/>
  <c r="E497" i="1"/>
  <c r="H497" i="1" s="1"/>
  <c r="E496" i="1"/>
  <c r="H496" i="1" s="1"/>
  <c r="E495" i="1"/>
  <c r="H495" i="1" s="1"/>
  <c r="E494" i="1"/>
  <c r="H494" i="1" s="1"/>
  <c r="E493" i="1"/>
  <c r="H493" i="1" s="1"/>
  <c r="E492" i="1"/>
  <c r="H492" i="1" s="1"/>
  <c r="E491" i="1"/>
  <c r="H491" i="1" s="1"/>
  <c r="E490" i="1"/>
  <c r="H490" i="1" s="1"/>
  <c r="E489" i="1"/>
  <c r="H489" i="1" s="1"/>
  <c r="E488" i="1"/>
  <c r="H488" i="1" s="1"/>
  <c r="E487" i="1"/>
  <c r="H487" i="1" s="1"/>
  <c r="E486" i="1"/>
  <c r="H486" i="1" s="1"/>
  <c r="E485" i="1"/>
  <c r="H485" i="1" s="1"/>
  <c r="E484" i="1"/>
  <c r="H484" i="1" s="1"/>
  <c r="E483" i="1"/>
  <c r="H483" i="1" s="1"/>
  <c r="E482" i="1"/>
  <c r="H482" i="1" s="1"/>
  <c r="E481" i="1"/>
  <c r="H481" i="1" s="1"/>
  <c r="E480" i="1"/>
  <c r="H480" i="1" s="1"/>
  <c r="E479" i="1"/>
  <c r="H479" i="1" s="1"/>
  <c r="E478" i="1"/>
  <c r="H478" i="1" s="1"/>
  <c r="E477" i="1"/>
  <c r="H477" i="1" s="1"/>
  <c r="E476" i="1"/>
  <c r="H476" i="1" s="1"/>
  <c r="E475" i="1"/>
  <c r="H475" i="1" s="1"/>
  <c r="E474" i="1"/>
  <c r="H474" i="1" s="1"/>
  <c r="E473" i="1"/>
  <c r="H473" i="1" s="1"/>
  <c r="E472" i="1"/>
  <c r="H472" i="1" s="1"/>
  <c r="E471" i="1"/>
  <c r="H471" i="1" s="1"/>
  <c r="E470" i="1"/>
  <c r="H470" i="1" s="1"/>
  <c r="E469" i="1"/>
  <c r="H469" i="1" s="1"/>
  <c r="E468" i="1"/>
  <c r="H468" i="1" s="1"/>
  <c r="E467" i="1"/>
  <c r="H467" i="1" s="1"/>
  <c r="E466" i="1"/>
  <c r="H466" i="1" s="1"/>
  <c r="E465" i="1"/>
  <c r="H465" i="1" s="1"/>
  <c r="E464" i="1"/>
  <c r="H464" i="1" s="1"/>
  <c r="E463" i="1"/>
  <c r="H463" i="1" s="1"/>
  <c r="E462" i="1"/>
  <c r="H462" i="1" s="1"/>
  <c r="E461" i="1"/>
  <c r="H461" i="1" s="1"/>
  <c r="E460" i="1"/>
  <c r="H460" i="1" s="1"/>
  <c r="E459" i="1"/>
  <c r="H459" i="1" s="1"/>
  <c r="E458" i="1"/>
  <c r="H458" i="1" s="1"/>
  <c r="E457" i="1"/>
  <c r="H457" i="1" s="1"/>
  <c r="E456" i="1"/>
  <c r="H456" i="1" s="1"/>
  <c r="E455" i="1"/>
  <c r="H455" i="1" s="1"/>
  <c r="E454" i="1"/>
  <c r="H454" i="1" s="1"/>
  <c r="E453" i="1"/>
  <c r="H453" i="1" s="1"/>
  <c r="E452" i="1"/>
  <c r="H452" i="1" s="1"/>
  <c r="E451" i="1"/>
  <c r="H451" i="1" s="1"/>
  <c r="E450" i="1"/>
  <c r="H450" i="1" s="1"/>
  <c r="E449" i="1"/>
  <c r="H449" i="1" s="1"/>
  <c r="E448" i="1"/>
  <c r="H448" i="1" s="1"/>
  <c r="E447" i="1"/>
  <c r="H447" i="1" s="1"/>
  <c r="E446" i="1"/>
  <c r="H446" i="1" s="1"/>
  <c r="E445" i="1"/>
  <c r="H445" i="1" s="1"/>
  <c r="E444" i="1"/>
  <c r="H444" i="1" s="1"/>
  <c r="E443" i="1"/>
  <c r="H443" i="1" s="1"/>
  <c r="E442" i="1"/>
  <c r="H442" i="1" s="1"/>
  <c r="E441" i="1"/>
  <c r="H441" i="1" s="1"/>
  <c r="E440" i="1"/>
  <c r="H440" i="1" s="1"/>
  <c r="E439" i="1"/>
  <c r="H439" i="1" s="1"/>
  <c r="E438" i="1"/>
  <c r="H438" i="1" s="1"/>
  <c r="E437" i="1"/>
  <c r="H437" i="1" s="1"/>
  <c r="E436" i="1"/>
  <c r="H436" i="1" s="1"/>
  <c r="E435" i="1"/>
  <c r="H435" i="1" s="1"/>
  <c r="E434" i="1"/>
  <c r="H434" i="1" s="1"/>
  <c r="E433" i="1"/>
  <c r="H433" i="1" s="1"/>
  <c r="E432" i="1"/>
  <c r="H432" i="1" s="1"/>
  <c r="E431" i="1"/>
  <c r="H431" i="1" s="1"/>
  <c r="E430" i="1"/>
  <c r="H430" i="1" s="1"/>
  <c r="E429" i="1"/>
  <c r="H429" i="1" s="1"/>
  <c r="E428" i="1"/>
  <c r="H428" i="1" s="1"/>
  <c r="E427" i="1"/>
  <c r="H427" i="1" s="1"/>
  <c r="E426" i="1"/>
  <c r="H426" i="1" s="1"/>
  <c r="E425" i="1"/>
  <c r="H425" i="1" s="1"/>
  <c r="E424" i="1"/>
  <c r="H424" i="1" s="1"/>
  <c r="E423" i="1"/>
  <c r="H423" i="1" s="1"/>
  <c r="E422" i="1"/>
  <c r="H422" i="1" s="1"/>
  <c r="E421" i="1"/>
  <c r="H421" i="1" s="1"/>
  <c r="E420" i="1"/>
  <c r="H420" i="1" s="1"/>
  <c r="E419" i="1"/>
  <c r="H419" i="1" s="1"/>
  <c r="E418" i="1"/>
  <c r="H418" i="1" s="1"/>
  <c r="E417" i="1"/>
  <c r="H417" i="1" s="1"/>
  <c r="E416" i="1"/>
  <c r="H416" i="1" s="1"/>
  <c r="E415" i="1"/>
  <c r="H415" i="1" s="1"/>
  <c r="E414" i="1"/>
  <c r="H414" i="1" s="1"/>
  <c r="E413" i="1"/>
  <c r="H413" i="1" s="1"/>
  <c r="E412" i="1"/>
  <c r="H412" i="1" s="1"/>
  <c r="E411" i="1"/>
  <c r="H411" i="1" s="1"/>
  <c r="E410" i="1"/>
  <c r="H410" i="1" s="1"/>
  <c r="E409" i="1"/>
  <c r="H409" i="1" s="1"/>
  <c r="E408" i="1"/>
  <c r="H408" i="1" s="1"/>
  <c r="E407" i="1"/>
  <c r="H407" i="1" s="1"/>
  <c r="E406" i="1"/>
  <c r="H406" i="1" s="1"/>
  <c r="E405" i="1"/>
  <c r="H405" i="1" s="1"/>
  <c r="E404" i="1"/>
  <c r="H404" i="1" s="1"/>
  <c r="E403" i="1"/>
  <c r="H403" i="1" s="1"/>
  <c r="E402" i="1"/>
  <c r="H402" i="1" s="1"/>
  <c r="E401" i="1"/>
  <c r="H401" i="1" s="1"/>
  <c r="E400" i="1"/>
  <c r="H400" i="1" s="1"/>
  <c r="E399" i="1"/>
  <c r="H399" i="1" s="1"/>
  <c r="E398" i="1"/>
  <c r="H398" i="1" s="1"/>
  <c r="E397" i="1"/>
  <c r="H397" i="1" s="1"/>
  <c r="E396" i="1"/>
  <c r="H396" i="1" s="1"/>
  <c r="E395" i="1"/>
  <c r="H395" i="1" s="1"/>
  <c r="E394" i="1"/>
  <c r="H394" i="1" s="1"/>
  <c r="E393" i="1"/>
  <c r="H393" i="1" s="1"/>
  <c r="E392" i="1"/>
  <c r="H392" i="1" s="1"/>
  <c r="E391" i="1"/>
  <c r="H391" i="1" s="1"/>
  <c r="E390" i="1"/>
  <c r="H390" i="1" s="1"/>
  <c r="E389" i="1"/>
  <c r="H389" i="1" s="1"/>
  <c r="E388" i="1"/>
  <c r="H388" i="1" s="1"/>
  <c r="E387" i="1"/>
  <c r="H387" i="1" s="1"/>
  <c r="E386" i="1"/>
  <c r="H386" i="1" s="1"/>
  <c r="E385" i="1"/>
  <c r="H385" i="1" s="1"/>
  <c r="E384" i="1"/>
  <c r="H384" i="1" s="1"/>
  <c r="E383" i="1"/>
  <c r="H383" i="1" s="1"/>
  <c r="E382" i="1"/>
  <c r="H382" i="1" s="1"/>
  <c r="E381" i="1"/>
  <c r="H381" i="1" s="1"/>
  <c r="E380" i="1"/>
  <c r="H380" i="1" s="1"/>
  <c r="E379" i="1"/>
  <c r="H379" i="1" s="1"/>
  <c r="E378" i="1"/>
  <c r="H378" i="1" s="1"/>
  <c r="E377" i="1"/>
  <c r="H377" i="1" s="1"/>
  <c r="E376" i="1"/>
  <c r="H376" i="1" s="1"/>
  <c r="E375" i="1"/>
  <c r="H375" i="1" s="1"/>
  <c r="E374" i="1"/>
  <c r="H374" i="1" s="1"/>
  <c r="E373" i="1"/>
  <c r="H373" i="1" s="1"/>
  <c r="E372" i="1"/>
  <c r="H372" i="1" s="1"/>
  <c r="E371" i="1"/>
  <c r="H371" i="1" s="1"/>
  <c r="E370" i="1"/>
  <c r="H370" i="1" s="1"/>
  <c r="E369" i="1"/>
  <c r="H369" i="1" s="1"/>
  <c r="E368" i="1"/>
  <c r="H368" i="1" s="1"/>
  <c r="E367" i="1"/>
  <c r="H367" i="1" s="1"/>
  <c r="E366" i="1"/>
  <c r="H366" i="1" s="1"/>
  <c r="E365" i="1"/>
  <c r="H365" i="1" s="1"/>
  <c r="E364" i="1"/>
  <c r="H364" i="1" s="1"/>
  <c r="E363" i="1"/>
  <c r="H363" i="1" s="1"/>
  <c r="E362" i="1"/>
  <c r="H362" i="1" s="1"/>
  <c r="E361" i="1"/>
  <c r="H361" i="1" s="1"/>
  <c r="E360" i="1"/>
  <c r="H360" i="1" s="1"/>
  <c r="E359" i="1"/>
  <c r="H359" i="1" s="1"/>
  <c r="E358" i="1"/>
  <c r="H358" i="1" s="1"/>
  <c r="E357" i="1"/>
  <c r="H357" i="1" s="1"/>
  <c r="E356" i="1"/>
  <c r="H356" i="1" s="1"/>
  <c r="E355" i="1"/>
  <c r="H355" i="1" s="1"/>
  <c r="E354" i="1"/>
  <c r="H354" i="1" s="1"/>
  <c r="E353" i="1"/>
  <c r="H353" i="1" s="1"/>
  <c r="E352" i="1"/>
  <c r="H352" i="1" s="1"/>
  <c r="E351" i="1"/>
  <c r="H351" i="1" s="1"/>
  <c r="E350" i="1"/>
  <c r="H350" i="1" s="1"/>
  <c r="E349" i="1"/>
  <c r="H349" i="1" s="1"/>
  <c r="E348" i="1"/>
  <c r="H348" i="1" s="1"/>
  <c r="E347" i="1"/>
  <c r="H347" i="1" s="1"/>
  <c r="E346" i="1"/>
  <c r="H346" i="1" s="1"/>
  <c r="E345" i="1"/>
  <c r="H345" i="1" s="1"/>
  <c r="E344" i="1"/>
  <c r="H344" i="1" s="1"/>
  <c r="E343" i="1"/>
  <c r="H343" i="1" s="1"/>
  <c r="E342" i="1"/>
  <c r="H342" i="1" s="1"/>
  <c r="E341" i="1"/>
  <c r="H341" i="1" s="1"/>
  <c r="E340" i="1"/>
  <c r="H340" i="1" s="1"/>
  <c r="E339" i="1"/>
  <c r="H339" i="1" s="1"/>
  <c r="E338" i="1"/>
  <c r="H338" i="1" s="1"/>
  <c r="E337" i="1"/>
  <c r="H337" i="1" s="1"/>
  <c r="E336" i="1"/>
  <c r="H336" i="1" s="1"/>
  <c r="E335" i="1"/>
  <c r="H335" i="1" s="1"/>
  <c r="E334" i="1"/>
  <c r="H334" i="1" s="1"/>
  <c r="E333" i="1"/>
  <c r="H333" i="1" s="1"/>
  <c r="E332" i="1"/>
  <c r="H332" i="1" s="1"/>
  <c r="E331" i="1"/>
  <c r="H331" i="1" s="1"/>
  <c r="E330" i="1"/>
  <c r="H330" i="1" s="1"/>
  <c r="E329" i="1"/>
  <c r="H329" i="1" s="1"/>
  <c r="E328" i="1"/>
  <c r="H328" i="1" s="1"/>
  <c r="E327" i="1"/>
  <c r="H327" i="1" s="1"/>
  <c r="E326" i="1"/>
  <c r="H326" i="1" s="1"/>
  <c r="E325" i="1"/>
  <c r="H325" i="1" s="1"/>
  <c r="E324" i="1"/>
  <c r="H324" i="1" s="1"/>
  <c r="E323" i="1"/>
  <c r="H323" i="1" s="1"/>
  <c r="E322" i="1"/>
  <c r="H322" i="1" s="1"/>
  <c r="E321" i="1"/>
  <c r="H321" i="1" s="1"/>
  <c r="E320" i="1"/>
  <c r="H320" i="1" s="1"/>
  <c r="E319" i="1"/>
  <c r="H319" i="1" s="1"/>
  <c r="E318" i="1"/>
  <c r="H318" i="1" s="1"/>
  <c r="E317" i="1"/>
  <c r="H317" i="1" s="1"/>
  <c r="E316" i="1"/>
  <c r="H316" i="1" s="1"/>
  <c r="E315" i="1"/>
  <c r="H315" i="1" s="1"/>
  <c r="E314" i="1"/>
  <c r="H314" i="1" s="1"/>
  <c r="E313" i="1"/>
  <c r="H313" i="1" s="1"/>
  <c r="E312" i="1"/>
  <c r="H312" i="1" s="1"/>
  <c r="E311" i="1"/>
  <c r="H311" i="1" s="1"/>
  <c r="E310" i="1"/>
  <c r="H310" i="1" s="1"/>
  <c r="E309" i="1"/>
  <c r="H309" i="1" s="1"/>
  <c r="E308" i="1"/>
  <c r="H308" i="1" s="1"/>
  <c r="E307" i="1"/>
  <c r="H307" i="1" s="1"/>
  <c r="E306" i="1"/>
  <c r="H306" i="1" s="1"/>
  <c r="E305" i="1"/>
  <c r="H305" i="1" s="1"/>
  <c r="E304" i="1"/>
  <c r="H304" i="1" s="1"/>
  <c r="E303" i="1"/>
  <c r="H303" i="1" s="1"/>
  <c r="E302" i="1"/>
  <c r="H302" i="1" s="1"/>
  <c r="E301" i="1"/>
  <c r="H301" i="1" s="1"/>
  <c r="E300" i="1"/>
  <c r="H300" i="1" s="1"/>
  <c r="E299" i="1"/>
  <c r="H299" i="1" s="1"/>
  <c r="E298" i="1"/>
  <c r="H298" i="1" s="1"/>
  <c r="E297" i="1"/>
  <c r="H297" i="1" s="1"/>
  <c r="E296" i="1"/>
  <c r="H296" i="1" s="1"/>
  <c r="E295" i="1"/>
  <c r="H295" i="1" s="1"/>
  <c r="E294" i="1"/>
  <c r="H294" i="1" s="1"/>
  <c r="E293" i="1"/>
  <c r="H293" i="1" s="1"/>
  <c r="E292" i="1"/>
  <c r="H292" i="1" s="1"/>
  <c r="E291" i="1"/>
  <c r="H291" i="1" s="1"/>
  <c r="E290" i="1"/>
  <c r="H290" i="1" s="1"/>
  <c r="E289" i="1"/>
  <c r="H289" i="1" s="1"/>
  <c r="E288" i="1"/>
  <c r="H288" i="1" s="1"/>
  <c r="E287" i="1"/>
  <c r="H287" i="1" s="1"/>
  <c r="E286" i="1"/>
  <c r="H286" i="1" s="1"/>
  <c r="E285" i="1"/>
  <c r="H285" i="1" s="1"/>
  <c r="E284" i="1"/>
  <c r="H284" i="1" s="1"/>
  <c r="E283" i="1"/>
  <c r="H283" i="1" s="1"/>
  <c r="E282" i="1"/>
  <c r="H282" i="1" s="1"/>
  <c r="E281" i="1"/>
  <c r="H281" i="1" s="1"/>
  <c r="E280" i="1"/>
  <c r="H280" i="1" s="1"/>
  <c r="E279" i="1"/>
  <c r="H279" i="1" s="1"/>
  <c r="E278" i="1"/>
  <c r="H278" i="1" s="1"/>
  <c r="E277" i="1"/>
  <c r="H277" i="1" s="1"/>
  <c r="E276" i="1"/>
  <c r="H276" i="1" s="1"/>
  <c r="E275" i="1"/>
  <c r="H275" i="1" s="1"/>
  <c r="E274" i="1"/>
  <c r="H274" i="1" s="1"/>
  <c r="E273" i="1"/>
  <c r="H273" i="1" s="1"/>
  <c r="E272" i="1"/>
  <c r="H272" i="1" s="1"/>
  <c r="E271" i="1"/>
  <c r="H271" i="1" s="1"/>
  <c r="E270" i="1"/>
  <c r="H270" i="1" s="1"/>
  <c r="E269" i="1"/>
  <c r="H269" i="1" s="1"/>
  <c r="E268" i="1"/>
  <c r="H268" i="1" s="1"/>
  <c r="E267" i="1"/>
  <c r="H267" i="1" s="1"/>
  <c r="E266" i="1"/>
  <c r="H266" i="1" s="1"/>
  <c r="E265" i="1"/>
  <c r="H265" i="1" s="1"/>
  <c r="E264" i="1"/>
  <c r="H264" i="1" s="1"/>
  <c r="E263" i="1"/>
  <c r="H263" i="1" s="1"/>
  <c r="E262" i="1"/>
  <c r="H262" i="1" s="1"/>
  <c r="E261" i="1"/>
  <c r="H261" i="1" s="1"/>
  <c r="E260" i="1"/>
  <c r="H260" i="1" s="1"/>
  <c r="E259" i="1"/>
  <c r="H259" i="1" s="1"/>
  <c r="E258" i="1"/>
  <c r="H258" i="1" s="1"/>
  <c r="E257" i="1"/>
  <c r="H257" i="1" s="1"/>
  <c r="E256" i="1"/>
  <c r="H256" i="1" s="1"/>
  <c r="E255" i="1"/>
  <c r="H255" i="1" s="1"/>
  <c r="E254" i="1"/>
  <c r="H254" i="1" s="1"/>
  <c r="E253" i="1"/>
  <c r="H253" i="1" s="1"/>
  <c r="E252" i="1"/>
  <c r="H252" i="1" s="1"/>
  <c r="E251" i="1"/>
  <c r="H251" i="1" s="1"/>
  <c r="E250" i="1"/>
  <c r="H250" i="1" s="1"/>
  <c r="E249" i="1"/>
  <c r="H249" i="1" s="1"/>
  <c r="E248" i="1"/>
  <c r="H248" i="1" s="1"/>
  <c r="E247" i="1"/>
  <c r="H247" i="1" s="1"/>
  <c r="E246" i="1"/>
  <c r="H246" i="1" s="1"/>
  <c r="E245" i="1"/>
  <c r="H245" i="1" s="1"/>
  <c r="E244" i="1"/>
  <c r="H244" i="1" s="1"/>
  <c r="E243" i="1"/>
  <c r="H243" i="1" s="1"/>
  <c r="E242" i="1"/>
  <c r="H242" i="1" s="1"/>
  <c r="E241" i="1"/>
  <c r="H241" i="1" s="1"/>
  <c r="E240" i="1"/>
  <c r="H240" i="1" s="1"/>
  <c r="E239" i="1"/>
  <c r="H239" i="1" s="1"/>
  <c r="E238" i="1"/>
  <c r="H238" i="1" s="1"/>
  <c r="E237" i="1"/>
  <c r="H237" i="1" s="1"/>
  <c r="E236" i="1"/>
  <c r="H236" i="1" s="1"/>
  <c r="E235" i="1"/>
  <c r="H235" i="1" s="1"/>
  <c r="E234" i="1"/>
  <c r="H234" i="1" s="1"/>
  <c r="E233" i="1"/>
  <c r="H233" i="1" s="1"/>
  <c r="E232" i="1"/>
  <c r="H232" i="1" s="1"/>
  <c r="E231" i="1"/>
  <c r="H231" i="1" s="1"/>
  <c r="E230" i="1"/>
  <c r="H230" i="1" s="1"/>
  <c r="E229" i="1"/>
  <c r="H229" i="1" s="1"/>
  <c r="E228" i="1"/>
  <c r="H228" i="1" s="1"/>
  <c r="E227" i="1"/>
  <c r="H227" i="1" s="1"/>
  <c r="E226" i="1"/>
  <c r="H226" i="1" s="1"/>
  <c r="E225" i="1"/>
  <c r="H225" i="1" s="1"/>
  <c r="E224" i="1"/>
  <c r="H224" i="1" s="1"/>
  <c r="E223" i="1"/>
  <c r="H223" i="1" s="1"/>
  <c r="E222" i="1"/>
  <c r="H222" i="1" s="1"/>
  <c r="E221" i="1"/>
  <c r="H221" i="1" s="1"/>
  <c r="E220" i="1"/>
  <c r="H220" i="1" s="1"/>
  <c r="E219" i="1"/>
  <c r="H219" i="1" s="1"/>
  <c r="E218" i="1"/>
  <c r="H218" i="1" s="1"/>
  <c r="E217" i="1"/>
  <c r="H217" i="1" s="1"/>
  <c r="E216" i="1"/>
  <c r="H216" i="1" s="1"/>
  <c r="E215" i="1"/>
  <c r="H215" i="1" s="1"/>
  <c r="E214" i="1"/>
  <c r="H214" i="1" s="1"/>
  <c r="E213" i="1"/>
  <c r="H213" i="1" s="1"/>
  <c r="E212" i="1"/>
  <c r="H212" i="1" s="1"/>
  <c r="E211" i="1"/>
  <c r="H211" i="1" s="1"/>
  <c r="E210" i="1"/>
  <c r="H210" i="1" s="1"/>
  <c r="E209" i="1"/>
  <c r="H209" i="1" s="1"/>
  <c r="E208" i="1"/>
  <c r="H208" i="1" s="1"/>
  <c r="E207" i="1"/>
  <c r="H207" i="1" s="1"/>
  <c r="E206" i="1"/>
  <c r="H206" i="1" s="1"/>
  <c r="E205" i="1"/>
  <c r="H205" i="1" s="1"/>
  <c r="E204" i="1"/>
  <c r="H204" i="1" s="1"/>
  <c r="E203" i="1"/>
  <c r="H203" i="1" s="1"/>
  <c r="E202" i="1"/>
  <c r="H202" i="1" s="1"/>
  <c r="E201" i="1"/>
  <c r="H201" i="1" s="1"/>
  <c r="E200" i="1"/>
  <c r="H200" i="1" s="1"/>
  <c r="E199" i="1"/>
  <c r="H199" i="1" s="1"/>
  <c r="E198" i="1"/>
  <c r="H198" i="1" s="1"/>
  <c r="E197" i="1"/>
  <c r="H197" i="1" s="1"/>
  <c r="E196" i="1"/>
  <c r="H196" i="1" s="1"/>
  <c r="E195" i="1"/>
  <c r="H195" i="1" s="1"/>
  <c r="E194" i="1"/>
  <c r="H194" i="1" s="1"/>
  <c r="E193" i="1"/>
  <c r="H193" i="1" s="1"/>
  <c r="E192" i="1"/>
  <c r="H192" i="1" s="1"/>
  <c r="E191" i="1"/>
  <c r="H191" i="1" s="1"/>
  <c r="E190" i="1"/>
  <c r="H190" i="1" s="1"/>
  <c r="E189" i="1"/>
  <c r="H189" i="1" s="1"/>
  <c r="E188" i="1"/>
  <c r="H188" i="1" s="1"/>
  <c r="E187" i="1"/>
  <c r="H187" i="1" s="1"/>
  <c r="E186" i="1"/>
  <c r="H186" i="1" s="1"/>
  <c r="E185" i="1"/>
  <c r="H185" i="1" s="1"/>
  <c r="E184" i="1"/>
  <c r="H184" i="1" s="1"/>
  <c r="E183" i="1"/>
  <c r="H183" i="1" s="1"/>
  <c r="E182" i="1"/>
  <c r="H182" i="1" s="1"/>
  <c r="E181" i="1"/>
  <c r="H181" i="1" s="1"/>
  <c r="E180" i="1"/>
  <c r="H180" i="1" s="1"/>
  <c r="E179" i="1"/>
  <c r="H179" i="1" s="1"/>
  <c r="E178" i="1"/>
  <c r="H178" i="1" s="1"/>
  <c r="E177" i="1"/>
  <c r="H177" i="1" s="1"/>
  <c r="E176" i="1"/>
  <c r="H176" i="1" s="1"/>
  <c r="E175" i="1"/>
  <c r="H175" i="1" s="1"/>
  <c r="E174" i="1"/>
  <c r="H174" i="1" s="1"/>
  <c r="E173" i="1"/>
  <c r="H173" i="1" s="1"/>
  <c r="E172" i="1"/>
  <c r="H172" i="1" s="1"/>
  <c r="E171" i="1"/>
  <c r="H171" i="1" s="1"/>
  <c r="E170" i="1"/>
  <c r="H170" i="1" s="1"/>
  <c r="E169" i="1"/>
  <c r="H169" i="1" s="1"/>
  <c r="E168" i="1"/>
  <c r="H168" i="1" s="1"/>
  <c r="E167" i="1"/>
  <c r="H167" i="1" s="1"/>
  <c r="E166" i="1"/>
  <c r="H166" i="1" s="1"/>
  <c r="E165" i="1"/>
  <c r="H165" i="1" s="1"/>
  <c r="E164" i="1"/>
  <c r="H164" i="1" s="1"/>
  <c r="E163" i="1"/>
  <c r="H163" i="1" s="1"/>
  <c r="E162" i="1"/>
  <c r="H162" i="1" s="1"/>
  <c r="E161" i="1"/>
  <c r="H161" i="1" s="1"/>
  <c r="E160" i="1"/>
  <c r="H160" i="1" s="1"/>
  <c r="E159" i="1"/>
  <c r="H159" i="1" s="1"/>
  <c r="E158" i="1"/>
  <c r="H158" i="1" s="1"/>
  <c r="E157" i="1"/>
  <c r="H157" i="1" s="1"/>
  <c r="E156" i="1"/>
  <c r="H156" i="1" s="1"/>
  <c r="E155" i="1"/>
  <c r="H155" i="1" s="1"/>
  <c r="E154" i="1"/>
  <c r="H154" i="1" s="1"/>
  <c r="E153" i="1"/>
  <c r="H153" i="1" s="1"/>
  <c r="E152" i="1"/>
  <c r="H152" i="1" s="1"/>
  <c r="E151" i="1"/>
  <c r="H151" i="1" s="1"/>
  <c r="E150" i="1"/>
  <c r="H150" i="1" s="1"/>
  <c r="E149" i="1"/>
  <c r="H149" i="1" s="1"/>
  <c r="E148" i="1"/>
  <c r="H148" i="1" s="1"/>
  <c r="E147" i="1"/>
  <c r="H147" i="1" s="1"/>
  <c r="E146" i="1"/>
  <c r="H146" i="1" s="1"/>
  <c r="E145" i="1"/>
  <c r="H145" i="1" s="1"/>
  <c r="E144" i="1"/>
  <c r="H144" i="1" s="1"/>
  <c r="E143" i="1"/>
  <c r="H143" i="1" s="1"/>
  <c r="E142" i="1"/>
  <c r="H142" i="1" s="1"/>
  <c r="E141" i="1"/>
  <c r="H141" i="1" s="1"/>
  <c r="E140" i="1"/>
  <c r="H140" i="1" s="1"/>
  <c r="E139" i="1"/>
  <c r="H139" i="1" s="1"/>
  <c r="E138" i="1"/>
  <c r="H138" i="1" s="1"/>
  <c r="E137" i="1"/>
  <c r="H137" i="1" s="1"/>
  <c r="E136" i="1"/>
  <c r="H136" i="1" s="1"/>
  <c r="E135" i="1"/>
  <c r="H135" i="1" s="1"/>
  <c r="E134" i="1"/>
  <c r="H134" i="1" s="1"/>
  <c r="E133" i="1"/>
  <c r="H133" i="1" s="1"/>
  <c r="E132" i="1"/>
  <c r="H132" i="1" s="1"/>
  <c r="E131" i="1"/>
  <c r="H131" i="1" s="1"/>
  <c r="E130" i="1"/>
  <c r="H130" i="1" s="1"/>
  <c r="E129" i="1"/>
  <c r="H129" i="1" s="1"/>
  <c r="E128" i="1"/>
  <c r="H128" i="1" s="1"/>
  <c r="E127" i="1"/>
  <c r="H127" i="1" s="1"/>
  <c r="E126" i="1"/>
  <c r="H126" i="1" s="1"/>
  <c r="E125" i="1"/>
  <c r="H125" i="1" s="1"/>
  <c r="E124" i="1"/>
  <c r="H124" i="1" s="1"/>
  <c r="E123" i="1"/>
  <c r="H123" i="1" s="1"/>
  <c r="E122" i="1"/>
  <c r="H122" i="1" s="1"/>
  <c r="E121" i="1"/>
  <c r="H121" i="1" s="1"/>
  <c r="E120" i="1"/>
  <c r="H120" i="1" s="1"/>
  <c r="E119" i="1"/>
  <c r="H119" i="1" s="1"/>
  <c r="E118" i="1"/>
  <c r="H118" i="1" s="1"/>
  <c r="E117" i="1"/>
  <c r="H117" i="1" s="1"/>
  <c r="E116" i="1"/>
  <c r="H116" i="1" s="1"/>
  <c r="E115" i="1"/>
  <c r="H115" i="1" s="1"/>
  <c r="E114" i="1"/>
  <c r="H114" i="1" s="1"/>
  <c r="E113" i="1"/>
  <c r="H113" i="1" s="1"/>
  <c r="E112" i="1"/>
  <c r="H112" i="1" s="1"/>
  <c r="E111" i="1"/>
  <c r="H111" i="1" s="1"/>
  <c r="E110" i="1"/>
  <c r="H110" i="1" s="1"/>
  <c r="E109" i="1"/>
  <c r="H109" i="1" s="1"/>
  <c r="E108" i="1"/>
  <c r="H108" i="1" s="1"/>
  <c r="E107" i="1"/>
  <c r="H107" i="1" s="1"/>
  <c r="E106" i="1"/>
  <c r="H106" i="1" s="1"/>
  <c r="E105" i="1"/>
  <c r="H105" i="1" s="1"/>
  <c r="E104" i="1"/>
  <c r="H104" i="1" s="1"/>
  <c r="E103" i="1"/>
  <c r="H103" i="1" s="1"/>
  <c r="E102" i="1"/>
  <c r="H102" i="1" s="1"/>
  <c r="E101" i="1"/>
  <c r="H101" i="1" s="1"/>
  <c r="E100" i="1"/>
  <c r="H100" i="1" s="1"/>
  <c r="E99" i="1"/>
  <c r="H99" i="1" s="1"/>
  <c r="H735" i="1" l="1"/>
  <c r="H720" i="1"/>
  <c r="H705" i="1"/>
  <c r="H690" i="1"/>
  <c r="H675" i="1"/>
  <c r="H660" i="1"/>
  <c r="H645" i="1"/>
  <c r="H750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9" i="1"/>
  <c r="D2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F9" i="1" l="1"/>
  <c r="F10" i="1"/>
  <c r="F2" i="1"/>
  <c r="D3" i="1"/>
  <c r="F11" i="1"/>
  <c r="F12" i="1"/>
  <c r="F3" i="1" l="1"/>
  <c r="D4" i="1"/>
  <c r="F13" i="1"/>
  <c r="D5" i="1" l="1"/>
  <c r="F4" i="1"/>
  <c r="F14" i="1"/>
  <c r="F5" i="1" l="1"/>
  <c r="D6" i="1"/>
  <c r="F15" i="1"/>
  <c r="D7" i="1" l="1"/>
  <c r="F6" i="1"/>
  <c r="F16" i="1"/>
  <c r="D8" i="1" l="1"/>
  <c r="F7" i="1"/>
  <c r="F17" i="1"/>
  <c r="F8" i="1" l="1"/>
  <c r="F18" i="1"/>
  <c r="F19" i="1" l="1"/>
  <c r="F20" i="1" l="1"/>
  <c r="F21" i="1" l="1"/>
  <c r="F22" i="1" l="1"/>
  <c r="F23" i="1" l="1"/>
  <c r="F24" i="1" l="1"/>
  <c r="F25" i="1" l="1"/>
  <c r="F26" i="1" l="1"/>
  <c r="F27" i="1" l="1"/>
  <c r="F28" i="1" l="1"/>
  <c r="F29" i="1" l="1"/>
  <c r="F30" i="1" l="1"/>
  <c r="F31" i="1" l="1"/>
  <c r="F32" i="1" l="1"/>
  <c r="F33" i="1" l="1"/>
  <c r="F34" i="1" l="1"/>
  <c r="F35" i="1" l="1"/>
  <c r="F36" i="1" l="1"/>
  <c r="F37" i="1" l="1"/>
  <c r="F38" i="1" l="1"/>
  <c r="F39" i="1" l="1"/>
  <c r="F40" i="1" l="1"/>
  <c r="F41" i="1" l="1"/>
  <c r="F42" i="1" l="1"/>
  <c r="F43" i="1" l="1"/>
  <c r="F44" i="1" l="1"/>
  <c r="F45" i="1" l="1"/>
  <c r="F46" i="1" l="1"/>
  <c r="F47" i="1" l="1"/>
  <c r="F48" i="1" l="1"/>
  <c r="F49" i="1" l="1"/>
  <c r="F50" i="1" l="1"/>
  <c r="F51" i="1" l="1"/>
  <c r="F52" i="1" l="1"/>
  <c r="F53" i="1" l="1"/>
  <c r="F54" i="1" l="1"/>
  <c r="F55" i="1" l="1"/>
  <c r="F56" i="1" l="1"/>
  <c r="F57" i="1" l="1"/>
  <c r="F58" i="1" l="1"/>
  <c r="F59" i="1" l="1"/>
  <c r="F60" i="1" l="1"/>
  <c r="F61" i="1" l="1"/>
  <c r="F62" i="1" l="1"/>
  <c r="F63" i="1" l="1"/>
  <c r="F64" i="1" l="1"/>
  <c r="F65" i="1" l="1"/>
  <c r="F66" i="1" l="1"/>
  <c r="F67" i="1" l="1"/>
  <c r="F68" i="1" l="1"/>
  <c r="F69" i="1" l="1"/>
  <c r="F70" i="1" l="1"/>
  <c r="F71" i="1" l="1"/>
  <c r="F72" i="1" l="1"/>
  <c r="F73" i="1" l="1"/>
  <c r="F74" i="1" l="1"/>
  <c r="F75" i="1" l="1"/>
  <c r="F76" i="1" l="1"/>
  <c r="F77" i="1" l="1"/>
  <c r="F78" i="1" l="1"/>
  <c r="F79" i="1" l="1"/>
  <c r="F80" i="1" l="1"/>
  <c r="F81" i="1" l="1"/>
  <c r="F82" i="1" l="1"/>
  <c r="F83" i="1" l="1"/>
  <c r="F84" i="1" l="1"/>
  <c r="F85" i="1" l="1"/>
  <c r="F86" i="1" l="1"/>
  <c r="F87" i="1" l="1"/>
  <c r="F88" i="1" l="1"/>
  <c r="F89" i="1" l="1"/>
  <c r="F90" i="1" l="1"/>
  <c r="F91" i="1" l="1"/>
  <c r="F92" i="1" l="1"/>
  <c r="F93" i="1" l="1"/>
  <c r="F94" i="1" l="1"/>
  <c r="F95" i="1" l="1"/>
  <c r="F96" i="1" l="1"/>
  <c r="F97" i="1" l="1"/>
  <c r="F98" i="1" l="1"/>
  <c r="F99" i="1" l="1"/>
  <c r="F100" i="1" l="1"/>
  <c r="F101" i="1" l="1"/>
  <c r="F102" i="1" l="1"/>
  <c r="F103" i="1" l="1"/>
  <c r="F104" i="1" l="1"/>
  <c r="F105" i="1" l="1"/>
  <c r="F106" i="1" l="1"/>
  <c r="F107" i="1" l="1"/>
  <c r="F108" i="1" l="1"/>
  <c r="F109" i="1" l="1"/>
  <c r="F110" i="1" l="1"/>
  <c r="F111" i="1" l="1"/>
  <c r="F112" i="1" l="1"/>
  <c r="F113" i="1" l="1"/>
  <c r="F114" i="1" l="1"/>
  <c r="F115" i="1" l="1"/>
  <c r="F116" i="1" l="1"/>
  <c r="F117" i="1" l="1"/>
  <c r="F118" i="1" l="1"/>
  <c r="F119" i="1" l="1"/>
  <c r="F120" i="1" l="1"/>
  <c r="F121" i="1" l="1"/>
  <c r="F122" i="1" l="1"/>
  <c r="F123" i="1" l="1"/>
  <c r="F124" i="1" l="1"/>
  <c r="F125" i="1" l="1"/>
  <c r="F126" i="1" l="1"/>
  <c r="F127" i="1" l="1"/>
  <c r="F128" i="1" l="1"/>
  <c r="F129" i="1" l="1"/>
  <c r="F130" i="1" l="1"/>
  <c r="F131" i="1" l="1"/>
  <c r="F132" i="1" l="1"/>
  <c r="F133" i="1" l="1"/>
  <c r="F134" i="1" l="1"/>
  <c r="F135" i="1" l="1"/>
  <c r="F136" i="1" l="1"/>
  <c r="F137" i="1" l="1"/>
  <c r="F138" i="1" l="1"/>
  <c r="F139" i="1" l="1"/>
  <c r="F140" i="1" l="1"/>
  <c r="F141" i="1" l="1"/>
  <c r="F142" i="1" l="1"/>
  <c r="F143" i="1" l="1"/>
  <c r="F144" i="1" l="1"/>
  <c r="F145" i="1" l="1"/>
  <c r="F146" i="1" l="1"/>
  <c r="F147" i="1" l="1"/>
  <c r="F148" i="1" l="1"/>
  <c r="F149" i="1" l="1"/>
  <c r="F150" i="1" l="1"/>
  <c r="F151" i="1" l="1"/>
  <c r="F152" i="1" l="1"/>
  <c r="F153" i="1" l="1"/>
  <c r="F154" i="1" l="1"/>
  <c r="F155" i="1" l="1"/>
  <c r="F156" i="1" l="1"/>
  <c r="F157" i="1" l="1"/>
  <c r="F158" i="1" l="1"/>
  <c r="F159" i="1" l="1"/>
  <c r="F160" i="1" l="1"/>
  <c r="F161" i="1" l="1"/>
  <c r="F162" i="1" l="1"/>
  <c r="F163" i="1" l="1"/>
  <c r="F164" i="1" l="1"/>
  <c r="F165" i="1" l="1"/>
  <c r="F166" i="1" l="1"/>
  <c r="F167" i="1" l="1"/>
  <c r="F168" i="1" l="1"/>
  <c r="F169" i="1" l="1"/>
  <c r="F170" i="1" l="1"/>
  <c r="F171" i="1" l="1"/>
  <c r="F172" i="1" l="1"/>
  <c r="F173" i="1" l="1"/>
  <c r="F174" i="1" l="1"/>
  <c r="F175" i="1" l="1"/>
  <c r="F176" i="1" l="1"/>
  <c r="F177" i="1" l="1"/>
  <c r="F178" i="1" l="1"/>
  <c r="F179" i="1" l="1"/>
  <c r="F180" i="1" l="1"/>
  <c r="F181" i="1" l="1"/>
  <c r="F182" i="1" l="1"/>
  <c r="F183" i="1" l="1"/>
  <c r="F184" i="1" l="1"/>
  <c r="F185" i="1" l="1"/>
  <c r="F186" i="1" l="1"/>
  <c r="F187" i="1" l="1"/>
  <c r="F188" i="1" l="1"/>
  <c r="F189" i="1" l="1"/>
  <c r="F190" i="1" l="1"/>
  <c r="F191" i="1" l="1"/>
  <c r="F192" i="1" l="1"/>
  <c r="F193" i="1" l="1"/>
  <c r="F194" i="1" l="1"/>
  <c r="F195" i="1" l="1"/>
  <c r="F196" i="1" l="1"/>
  <c r="F197" i="1" l="1"/>
  <c r="F198" i="1" l="1"/>
  <c r="F199" i="1" l="1"/>
  <c r="F200" i="1" l="1"/>
  <c r="F201" i="1" l="1"/>
  <c r="F202" i="1" l="1"/>
  <c r="F203" i="1" l="1"/>
  <c r="F204" i="1" l="1"/>
  <c r="F205" i="1" l="1"/>
  <c r="F206" i="1" l="1"/>
  <c r="F207" i="1" l="1"/>
  <c r="F208" i="1" l="1"/>
  <c r="F209" i="1" l="1"/>
  <c r="F210" i="1" l="1"/>
  <c r="F211" i="1" l="1"/>
  <c r="F212" i="1" l="1"/>
  <c r="F213" i="1" l="1"/>
  <c r="F214" i="1" l="1"/>
  <c r="F215" i="1" l="1"/>
  <c r="F216" i="1" l="1"/>
  <c r="F217" i="1" l="1"/>
  <c r="F218" i="1" l="1"/>
  <c r="F219" i="1" l="1"/>
  <c r="F220" i="1" l="1"/>
  <c r="F221" i="1" l="1"/>
  <c r="F222" i="1" l="1"/>
  <c r="F223" i="1" l="1"/>
  <c r="F224" i="1" l="1"/>
  <c r="F225" i="1" l="1"/>
  <c r="F226" i="1" l="1"/>
  <c r="F227" i="1" l="1"/>
  <c r="F228" i="1" l="1"/>
  <c r="F229" i="1" l="1"/>
  <c r="F230" i="1" l="1"/>
  <c r="F231" i="1" l="1"/>
  <c r="F232" i="1" l="1"/>
  <c r="F233" i="1" l="1"/>
  <c r="F234" i="1" l="1"/>
  <c r="F235" i="1" l="1"/>
  <c r="F236" i="1" l="1"/>
  <c r="F237" i="1" l="1"/>
  <c r="F238" i="1" l="1"/>
  <c r="F239" i="1" l="1"/>
  <c r="F240" i="1" l="1"/>
  <c r="F241" i="1" l="1"/>
  <c r="F242" i="1" l="1"/>
  <c r="F243" i="1" l="1"/>
  <c r="F244" i="1" l="1"/>
  <c r="F245" i="1" l="1"/>
  <c r="F246" i="1" l="1"/>
  <c r="F247" i="1" l="1"/>
  <c r="F248" i="1" l="1"/>
  <c r="F249" i="1" l="1"/>
  <c r="F250" i="1" l="1"/>
  <c r="F251" i="1" l="1"/>
  <c r="F252" i="1" l="1"/>
  <c r="F253" i="1" l="1"/>
  <c r="F254" i="1" l="1"/>
  <c r="F255" i="1" l="1"/>
  <c r="F256" i="1" l="1"/>
  <c r="F257" i="1" l="1"/>
  <c r="F258" i="1" l="1"/>
  <c r="F259" i="1" l="1"/>
  <c r="F260" i="1" l="1"/>
  <c r="F261" i="1" l="1"/>
  <c r="F262" i="1" l="1"/>
  <c r="F263" i="1" l="1"/>
  <c r="F264" i="1" l="1"/>
  <c r="F265" i="1" l="1"/>
  <c r="F266" i="1" l="1"/>
  <c r="F267" i="1" l="1"/>
  <c r="F268" i="1" l="1"/>
  <c r="F269" i="1" l="1"/>
  <c r="F270" i="1" l="1"/>
  <c r="F271" i="1" l="1"/>
  <c r="F272" i="1" l="1"/>
  <c r="F273" i="1" l="1"/>
  <c r="F274" i="1" l="1"/>
  <c r="F275" i="1" l="1"/>
  <c r="F276" i="1" l="1"/>
  <c r="F277" i="1" l="1"/>
  <c r="F278" i="1" l="1"/>
  <c r="F279" i="1" l="1"/>
  <c r="F280" i="1" l="1"/>
  <c r="F281" i="1" l="1"/>
  <c r="F282" i="1" l="1"/>
  <c r="F283" i="1" l="1"/>
  <c r="F284" i="1" l="1"/>
  <c r="F285" i="1" l="1"/>
  <c r="F286" i="1" l="1"/>
  <c r="F287" i="1" l="1"/>
  <c r="F288" i="1" l="1"/>
  <c r="F289" i="1" l="1"/>
  <c r="F290" i="1" l="1"/>
  <c r="F291" i="1" l="1"/>
  <c r="F292" i="1" l="1"/>
  <c r="F293" i="1" l="1"/>
  <c r="F294" i="1" l="1"/>
  <c r="F295" i="1" l="1"/>
  <c r="F296" i="1" l="1"/>
  <c r="F297" i="1" l="1"/>
  <c r="F298" i="1" l="1"/>
  <c r="F299" i="1" l="1"/>
  <c r="F300" i="1" l="1"/>
  <c r="F301" i="1" l="1"/>
  <c r="F302" i="1" l="1"/>
  <c r="F303" i="1" l="1"/>
  <c r="F304" i="1" l="1"/>
  <c r="F305" i="1" l="1"/>
  <c r="F306" i="1" l="1"/>
  <c r="F307" i="1" l="1"/>
  <c r="F308" i="1" l="1"/>
  <c r="F309" i="1" l="1"/>
  <c r="F310" i="1" l="1"/>
  <c r="F311" i="1" l="1"/>
  <c r="F312" i="1" l="1"/>
  <c r="F313" i="1" l="1"/>
  <c r="F314" i="1" l="1"/>
  <c r="F315" i="1" l="1"/>
  <c r="F316" i="1" l="1"/>
  <c r="F317" i="1" l="1"/>
  <c r="F318" i="1" l="1"/>
  <c r="F319" i="1" l="1"/>
  <c r="F320" i="1" l="1"/>
  <c r="F321" i="1" l="1"/>
  <c r="F322" i="1" l="1"/>
  <c r="F323" i="1" l="1"/>
  <c r="F324" i="1" l="1"/>
  <c r="F325" i="1" l="1"/>
  <c r="F326" i="1" l="1"/>
  <c r="F327" i="1" l="1"/>
  <c r="F328" i="1" l="1"/>
  <c r="F329" i="1" l="1"/>
  <c r="F330" i="1" l="1"/>
  <c r="F331" i="1" l="1"/>
  <c r="F332" i="1" l="1"/>
  <c r="F333" i="1" l="1"/>
  <c r="F334" i="1" l="1"/>
  <c r="F335" i="1" l="1"/>
  <c r="F336" i="1" l="1"/>
  <c r="F337" i="1" l="1"/>
  <c r="F338" i="1" l="1"/>
  <c r="F339" i="1" l="1"/>
  <c r="F340" i="1" l="1"/>
  <c r="F341" i="1" l="1"/>
  <c r="F342" i="1" l="1"/>
  <c r="F343" i="1" l="1"/>
  <c r="F344" i="1" l="1"/>
  <c r="F345" i="1" l="1"/>
  <c r="F346" i="1" l="1"/>
  <c r="F347" i="1" l="1"/>
  <c r="F348" i="1" l="1"/>
  <c r="F349" i="1" l="1"/>
  <c r="F350" i="1" l="1"/>
  <c r="F351" i="1" l="1"/>
  <c r="F352" i="1" l="1"/>
  <c r="F353" i="1" l="1"/>
  <c r="F354" i="1" l="1"/>
  <c r="F355" i="1" l="1"/>
  <c r="F356" i="1" l="1"/>
  <c r="F357" i="1" l="1"/>
  <c r="F358" i="1" l="1"/>
  <c r="F359" i="1" l="1"/>
  <c r="F360" i="1" l="1"/>
  <c r="F361" i="1" l="1"/>
  <c r="F362" i="1" l="1"/>
  <c r="F363" i="1" l="1"/>
  <c r="F364" i="1" l="1"/>
  <c r="F365" i="1" l="1"/>
  <c r="F366" i="1" l="1"/>
  <c r="F367" i="1" l="1"/>
  <c r="F368" i="1" l="1"/>
  <c r="F369" i="1" l="1"/>
  <c r="F370" i="1" l="1"/>
  <c r="F371" i="1" l="1"/>
  <c r="F372" i="1" l="1"/>
  <c r="F373" i="1" l="1"/>
  <c r="F374" i="1" l="1"/>
  <c r="F375" i="1" l="1"/>
  <c r="F376" i="1" l="1"/>
  <c r="F377" i="1" l="1"/>
  <c r="F378" i="1" l="1"/>
  <c r="F379" i="1" l="1"/>
  <c r="F380" i="1" l="1"/>
  <c r="F381" i="1" l="1"/>
  <c r="F382" i="1" l="1"/>
  <c r="F383" i="1" l="1"/>
  <c r="F384" i="1" l="1"/>
  <c r="F385" i="1" l="1"/>
  <c r="F386" i="1" l="1"/>
  <c r="F387" i="1" l="1"/>
  <c r="F388" i="1" l="1"/>
  <c r="F389" i="1" l="1"/>
  <c r="F390" i="1" l="1"/>
  <c r="F391" i="1" l="1"/>
  <c r="F392" i="1" l="1"/>
  <c r="F393" i="1" l="1"/>
  <c r="F394" i="1" l="1"/>
  <c r="F395" i="1" l="1"/>
  <c r="F396" i="1" l="1"/>
  <c r="F397" i="1" l="1"/>
  <c r="F398" i="1" l="1"/>
  <c r="F399" i="1" l="1"/>
  <c r="F400" i="1" l="1"/>
  <c r="F401" i="1" l="1"/>
  <c r="F402" i="1" l="1"/>
  <c r="F403" i="1" l="1"/>
  <c r="F404" i="1" l="1"/>
  <c r="F405" i="1" l="1"/>
  <c r="F406" i="1" l="1"/>
  <c r="F407" i="1" l="1"/>
  <c r="F408" i="1" l="1"/>
  <c r="F409" i="1" l="1"/>
  <c r="F410" i="1" l="1"/>
  <c r="F411" i="1" l="1"/>
  <c r="F412" i="1" l="1"/>
  <c r="F413" i="1" l="1"/>
  <c r="F414" i="1" l="1"/>
  <c r="F415" i="1" l="1"/>
  <c r="F416" i="1" l="1"/>
  <c r="F417" i="1" l="1"/>
  <c r="F418" i="1" l="1"/>
  <c r="F419" i="1" l="1"/>
  <c r="F420" i="1" l="1"/>
  <c r="F421" i="1" l="1"/>
  <c r="F422" i="1" l="1"/>
  <c r="F423" i="1" l="1"/>
  <c r="F424" i="1" l="1"/>
  <c r="F425" i="1" l="1"/>
  <c r="F426" i="1" l="1"/>
  <c r="F427" i="1" l="1"/>
  <c r="F428" i="1" l="1"/>
  <c r="F429" i="1" l="1"/>
  <c r="F430" i="1" l="1"/>
  <c r="F431" i="1" l="1"/>
  <c r="F432" i="1" l="1"/>
  <c r="F433" i="1" l="1"/>
  <c r="F434" i="1" l="1"/>
  <c r="F435" i="1" l="1"/>
  <c r="F436" i="1" l="1"/>
  <c r="F437" i="1" l="1"/>
  <c r="F438" i="1" l="1"/>
  <c r="F439" i="1" l="1"/>
  <c r="F440" i="1" l="1"/>
  <c r="F441" i="1" l="1"/>
  <c r="F442" i="1" l="1"/>
  <c r="F443" i="1" l="1"/>
  <c r="F444" i="1" l="1"/>
  <c r="F445" i="1" l="1"/>
  <c r="F446" i="1" l="1"/>
  <c r="F447" i="1" l="1"/>
  <c r="F448" i="1" l="1"/>
  <c r="F449" i="1" l="1"/>
  <c r="F450" i="1" l="1"/>
  <c r="F451" i="1" l="1"/>
  <c r="F452" i="1" l="1"/>
  <c r="F453" i="1" l="1"/>
  <c r="F454" i="1" l="1"/>
  <c r="F455" i="1" l="1"/>
  <c r="F456" i="1" l="1"/>
  <c r="F457" i="1" l="1"/>
  <c r="F458" i="1" l="1"/>
  <c r="F459" i="1" l="1"/>
  <c r="F460" i="1" l="1"/>
  <c r="F461" i="1" l="1"/>
  <c r="F462" i="1" l="1"/>
  <c r="F463" i="1" l="1"/>
  <c r="F464" i="1" l="1"/>
  <c r="F465" i="1" l="1"/>
  <c r="F466" i="1" l="1"/>
  <c r="F467" i="1" l="1"/>
  <c r="F468" i="1" l="1"/>
  <c r="F469" i="1" l="1"/>
  <c r="F470" i="1" l="1"/>
  <c r="F471" i="1" l="1"/>
  <c r="F472" i="1" l="1"/>
  <c r="F473" i="1" l="1"/>
  <c r="F474" i="1" l="1"/>
  <c r="F475" i="1" l="1"/>
  <c r="F476" i="1" l="1"/>
  <c r="F477" i="1" l="1"/>
  <c r="F478" i="1" l="1"/>
  <c r="F479" i="1" l="1"/>
  <c r="F480" i="1" l="1"/>
  <c r="F481" i="1" l="1"/>
  <c r="F482" i="1" l="1"/>
  <c r="F483" i="1" l="1"/>
  <c r="F484" i="1" l="1"/>
  <c r="F485" i="1" l="1"/>
  <c r="F486" i="1" l="1"/>
  <c r="F487" i="1" l="1"/>
  <c r="F488" i="1" l="1"/>
  <c r="F489" i="1" l="1"/>
  <c r="F490" i="1" l="1"/>
  <c r="F491" i="1" l="1"/>
  <c r="F492" i="1" l="1"/>
  <c r="F493" i="1" l="1"/>
  <c r="F494" i="1" l="1"/>
  <c r="F495" i="1" l="1"/>
  <c r="F496" i="1" l="1"/>
  <c r="F497" i="1" l="1"/>
  <c r="F498" i="1" l="1"/>
  <c r="F499" i="1" l="1"/>
  <c r="F500" i="1" l="1"/>
  <c r="F501" i="1" l="1"/>
  <c r="F502" i="1" l="1"/>
  <c r="F503" i="1" l="1"/>
  <c r="F504" i="1" l="1"/>
  <c r="F505" i="1" l="1"/>
  <c r="F506" i="1" l="1"/>
  <c r="F507" i="1" l="1"/>
  <c r="F508" i="1" l="1"/>
  <c r="F509" i="1" l="1"/>
  <c r="F510" i="1" l="1"/>
  <c r="F511" i="1" l="1"/>
  <c r="F512" i="1" l="1"/>
  <c r="F513" i="1" l="1"/>
  <c r="F514" i="1" l="1"/>
  <c r="F515" i="1" l="1"/>
  <c r="F516" i="1" l="1"/>
  <c r="F517" i="1" l="1"/>
  <c r="F518" i="1" l="1"/>
  <c r="F519" i="1" l="1"/>
  <c r="F520" i="1" l="1"/>
  <c r="F521" i="1" l="1"/>
  <c r="F522" i="1" l="1"/>
  <c r="F523" i="1" l="1"/>
  <c r="F524" i="1" l="1"/>
  <c r="F525" i="1" l="1"/>
  <c r="F526" i="1" l="1"/>
  <c r="F527" i="1" l="1"/>
  <c r="F528" i="1" l="1"/>
  <c r="F529" i="1" l="1"/>
  <c r="F530" i="1" l="1"/>
  <c r="F531" i="1" l="1"/>
  <c r="F532" i="1" l="1"/>
  <c r="F533" i="1" l="1"/>
  <c r="F534" i="1" l="1"/>
  <c r="F535" i="1" l="1"/>
  <c r="F536" i="1" l="1"/>
  <c r="F537" i="1" l="1"/>
  <c r="F538" i="1" l="1"/>
  <c r="F539" i="1" l="1"/>
  <c r="F540" i="1" l="1"/>
  <c r="F541" i="1" l="1"/>
  <c r="F542" i="1" l="1"/>
  <c r="F543" i="1" l="1"/>
  <c r="F544" i="1" l="1"/>
  <c r="F545" i="1" l="1"/>
  <c r="F546" i="1" l="1"/>
  <c r="F547" i="1" l="1"/>
  <c r="F548" i="1" l="1"/>
  <c r="F549" i="1" l="1"/>
  <c r="F550" i="1" l="1"/>
  <c r="F551" i="1" l="1"/>
  <c r="F552" i="1" l="1"/>
  <c r="F553" i="1" l="1"/>
  <c r="F554" i="1" l="1"/>
  <c r="F555" i="1" l="1"/>
  <c r="F556" i="1" l="1"/>
  <c r="F557" i="1" l="1"/>
  <c r="F558" i="1" l="1"/>
  <c r="F559" i="1" l="1"/>
  <c r="F560" i="1" l="1"/>
  <c r="F561" i="1" l="1"/>
  <c r="F562" i="1" l="1"/>
  <c r="F563" i="1" l="1"/>
  <c r="F564" i="1" l="1"/>
  <c r="F565" i="1" l="1"/>
  <c r="F566" i="1" l="1"/>
  <c r="F567" i="1" l="1"/>
  <c r="F568" i="1" l="1"/>
  <c r="F569" i="1" l="1"/>
  <c r="F570" i="1" l="1"/>
  <c r="F571" i="1" l="1"/>
  <c r="F572" i="1" l="1"/>
  <c r="F573" i="1" l="1"/>
  <c r="F574" i="1" l="1"/>
  <c r="F575" i="1" l="1"/>
  <c r="F576" i="1" l="1"/>
  <c r="F577" i="1" l="1"/>
  <c r="F578" i="1" l="1"/>
  <c r="F579" i="1" l="1"/>
  <c r="F580" i="1" l="1"/>
  <c r="F581" i="1" l="1"/>
  <c r="F582" i="1" l="1"/>
  <c r="F583" i="1" l="1"/>
  <c r="F584" i="1" l="1"/>
  <c r="F585" i="1" l="1"/>
  <c r="F586" i="1" l="1"/>
  <c r="F587" i="1" l="1"/>
  <c r="F588" i="1" l="1"/>
  <c r="F589" i="1" l="1"/>
  <c r="F590" i="1" l="1"/>
  <c r="F591" i="1" l="1"/>
  <c r="F592" i="1" l="1"/>
  <c r="F593" i="1" l="1"/>
  <c r="F594" i="1" l="1"/>
  <c r="F595" i="1" l="1"/>
  <c r="F596" i="1" l="1"/>
  <c r="F597" i="1" l="1"/>
  <c r="F598" i="1" l="1"/>
  <c r="F599" i="1" l="1"/>
  <c r="F600" i="1" l="1"/>
  <c r="F601" i="1" l="1"/>
  <c r="F602" i="1" l="1"/>
  <c r="F603" i="1" l="1"/>
  <c r="F604" i="1" l="1"/>
  <c r="F605" i="1" l="1"/>
  <c r="F606" i="1" l="1"/>
  <c r="F607" i="1" l="1"/>
  <c r="F608" i="1" l="1"/>
  <c r="F609" i="1" l="1"/>
  <c r="F610" i="1" l="1"/>
  <c r="F611" i="1" l="1"/>
  <c r="F612" i="1" l="1"/>
  <c r="F613" i="1" l="1"/>
  <c r="F614" i="1" l="1"/>
  <c r="F615" i="1" l="1"/>
  <c r="F616" i="1" l="1"/>
  <c r="F617" i="1" l="1"/>
  <c r="F618" i="1" l="1"/>
  <c r="F619" i="1" l="1"/>
  <c r="F620" i="1" l="1"/>
  <c r="F621" i="1" l="1"/>
  <c r="F622" i="1" l="1"/>
  <c r="F623" i="1" l="1"/>
  <c r="F624" i="1" l="1"/>
  <c r="F625" i="1" l="1"/>
  <c r="F626" i="1" l="1"/>
  <c r="F627" i="1" l="1"/>
  <c r="F628" i="1" l="1"/>
  <c r="F629" i="1" l="1"/>
  <c r="F630" i="1" l="1"/>
  <c r="F631" i="1" l="1"/>
  <c r="F632" i="1" l="1"/>
  <c r="F633" i="1" l="1"/>
  <c r="F634" i="1" l="1"/>
  <c r="F635" i="1" l="1"/>
  <c r="F636" i="1" l="1"/>
  <c r="F637" i="1" l="1"/>
  <c r="F638" i="1" l="1"/>
  <c r="F639" i="1" l="1"/>
  <c r="F640" i="1" l="1"/>
  <c r="F641" i="1" l="1"/>
  <c r="F642" i="1" l="1"/>
  <c r="F643" i="1" l="1"/>
  <c r="F644" i="1" l="1"/>
  <c r="F645" i="1" l="1"/>
  <c r="S2" i="1" s="1"/>
  <c r="F646" i="1" l="1"/>
  <c r="F647" i="1" l="1"/>
  <c r="F648" i="1" l="1"/>
  <c r="F649" i="1" l="1"/>
  <c r="F650" i="1" l="1"/>
  <c r="F651" i="1" l="1"/>
  <c r="F652" i="1" l="1"/>
  <c r="F653" i="1" l="1"/>
  <c r="F654" i="1" l="1"/>
  <c r="F655" i="1" l="1"/>
  <c r="F656" i="1" l="1"/>
  <c r="F657" i="1" l="1"/>
  <c r="F658" i="1" l="1"/>
  <c r="F659" i="1" l="1"/>
  <c r="F660" i="1" l="1"/>
  <c r="S3" i="1" s="1"/>
  <c r="F661" i="1" l="1"/>
  <c r="F662" i="1" l="1"/>
  <c r="F663" i="1" l="1"/>
  <c r="F664" i="1" l="1"/>
  <c r="F665" i="1" l="1"/>
  <c r="F666" i="1" l="1"/>
  <c r="F667" i="1" l="1"/>
  <c r="F668" i="1" l="1"/>
  <c r="F669" i="1" l="1"/>
  <c r="F670" i="1" l="1"/>
  <c r="F671" i="1" l="1"/>
  <c r="F672" i="1" l="1"/>
  <c r="F673" i="1" l="1"/>
  <c r="F674" i="1" l="1"/>
  <c r="F675" i="1" l="1"/>
  <c r="S4" i="1" s="1"/>
  <c r="F676" i="1" l="1"/>
  <c r="F677" i="1" l="1"/>
  <c r="F678" i="1" l="1"/>
  <c r="F679" i="1" l="1"/>
  <c r="F680" i="1" l="1"/>
  <c r="F681" i="1" l="1"/>
  <c r="F682" i="1" l="1"/>
  <c r="F683" i="1" l="1"/>
  <c r="F684" i="1" l="1"/>
  <c r="F685" i="1" l="1"/>
  <c r="F686" i="1" l="1"/>
  <c r="F687" i="1" l="1"/>
  <c r="F688" i="1" l="1"/>
  <c r="F689" i="1" l="1"/>
  <c r="F690" i="1" l="1"/>
  <c r="S5" i="1" s="1"/>
  <c r="F691" i="1" l="1"/>
  <c r="F692" i="1" l="1"/>
  <c r="F693" i="1" l="1"/>
  <c r="F694" i="1" l="1"/>
  <c r="F695" i="1" l="1"/>
  <c r="F696" i="1" l="1"/>
  <c r="F697" i="1" l="1"/>
  <c r="F698" i="1" l="1"/>
  <c r="F699" i="1" l="1"/>
  <c r="F700" i="1" l="1"/>
  <c r="F701" i="1" l="1"/>
  <c r="F702" i="1" l="1"/>
  <c r="F703" i="1" l="1"/>
  <c r="F704" i="1" l="1"/>
  <c r="F705" i="1" l="1"/>
  <c r="S6" i="1" s="1"/>
  <c r="F706" i="1" l="1"/>
  <c r="F707" i="1" l="1"/>
  <c r="F708" i="1" l="1"/>
  <c r="F709" i="1" l="1"/>
  <c r="F710" i="1" l="1"/>
  <c r="F711" i="1" l="1"/>
  <c r="F712" i="1" l="1"/>
  <c r="F713" i="1" l="1"/>
  <c r="F714" i="1" l="1"/>
  <c r="F715" i="1" l="1"/>
  <c r="F716" i="1" l="1"/>
  <c r="F717" i="1" l="1"/>
  <c r="F718" i="1" l="1"/>
  <c r="F719" i="1" l="1"/>
  <c r="F720" i="1" l="1"/>
  <c r="S7" i="1" s="1"/>
  <c r="F721" i="1" l="1"/>
  <c r="F722" i="1" l="1"/>
  <c r="F723" i="1" l="1"/>
  <c r="F724" i="1" l="1"/>
  <c r="F725" i="1" l="1"/>
  <c r="F726" i="1" l="1"/>
  <c r="F727" i="1" l="1"/>
  <c r="F728" i="1" l="1"/>
  <c r="F729" i="1" l="1"/>
  <c r="F730" i="1" l="1"/>
  <c r="F731" i="1" l="1"/>
  <c r="F732" i="1" l="1"/>
  <c r="F733" i="1" l="1"/>
  <c r="F734" i="1" l="1"/>
  <c r="F735" i="1" l="1"/>
  <c r="S8" i="1" s="1"/>
  <c r="F736" i="1" l="1"/>
  <c r="F737" i="1" l="1"/>
  <c r="F738" i="1" l="1"/>
  <c r="F739" i="1" l="1"/>
  <c r="F740" i="1" l="1"/>
  <c r="F741" i="1" l="1"/>
  <c r="F742" i="1" l="1"/>
  <c r="F743" i="1" l="1"/>
  <c r="F744" i="1" l="1"/>
  <c r="F745" i="1" l="1"/>
  <c r="F746" i="1" l="1"/>
  <c r="F747" i="1" l="1"/>
  <c r="F748" i="1" l="1"/>
  <c r="F750" i="1" l="1"/>
  <c r="S9" i="1" s="1"/>
  <c r="F749" i="1"/>
</calcChain>
</file>

<file path=xl/sharedStrings.xml><?xml version="1.0" encoding="utf-8"?>
<sst xmlns="http://schemas.openxmlformats.org/spreadsheetml/2006/main" count="18" uniqueCount="12">
  <si>
    <t>FECHA</t>
  </si>
  <si>
    <t>NUM_CASOS</t>
  </si>
  <si>
    <t>t</t>
  </si>
  <si>
    <t>R</t>
  </si>
  <si>
    <t>I</t>
  </si>
  <si>
    <t>S</t>
  </si>
  <si>
    <t>Población</t>
  </si>
  <si>
    <t>tasa de infectados (por quincena)</t>
  </si>
  <si>
    <t>tasa de perdida de inmunidad  (por quincena)</t>
  </si>
  <si>
    <t>tasa de perdida de inmunidad (diaria)</t>
  </si>
  <si>
    <t>tasa de perdida de inmunidad (por quincena) α</t>
  </si>
  <si>
    <t>tasa de infectados (por quincena) 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</si>
</sst>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4"/>
      <color indexed="8"/>
      <name val="Arial Narrow"/>
      <family val="2"/>
    </font>
    <font>
      <b/>
      <sz val="14"/>
      <color indexed="8"/>
      <name val="Arial Narrow"/>
      <family val="2"/>
    </font>
    <font>
      <b/>
      <sz val="36"/>
      <color indexed="8"/>
      <name val="Arial Narrow"/>
      <family val="2"/>
    </font>
    <font>
      <sz val="14"/>
      <name val="Arial Narrow"/>
      <family val="2"/>
    </font>
    <font>
      <b/>
      <sz val="16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NumberFormat="1" applyFont="1"/>
    <xf numFmtId="14" fontId="1" fillId="0" borderId="0" xfId="0" applyNumberFormat="1" applyFont="1"/>
    <xf numFmtId="0" fontId="1" fillId="0" borderId="1" xfId="0" applyNumberFormat="1" applyFont="1" applyBorder="1"/>
    <xf numFmtId="14" fontId="1" fillId="0" borderId="1" xfId="0" applyNumberFormat="1" applyFont="1" applyBorder="1"/>
    <xf numFmtId="0" fontId="1" fillId="0" borderId="1" xfId="0" applyFont="1" applyBorder="1"/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3" borderId="1" xfId="0" applyNumberFormat="1" applyFont="1" applyFill="1" applyBorder="1"/>
    <xf numFmtId="0" fontId="1" fillId="3" borderId="1" xfId="0" applyFont="1" applyFill="1" applyBorder="1"/>
    <xf numFmtId="0" fontId="4" fillId="3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Sheet1!$B$2:$B$750</c:f>
              <c:numCache>
                <c:formatCode>m/d/yyyy</c:formatCode>
                <c:ptCount val="749"/>
                <c:pt idx="0">
                  <c:v>43896</c:v>
                </c:pt>
                <c:pt idx="1">
                  <c:v>43897</c:v>
                </c:pt>
                <c:pt idx="2">
                  <c:v>43898</c:v>
                </c:pt>
                <c:pt idx="3">
                  <c:v>43899</c:v>
                </c:pt>
                <c:pt idx="4">
                  <c:v>43900</c:v>
                </c:pt>
                <c:pt idx="5">
                  <c:v>43901</c:v>
                </c:pt>
                <c:pt idx="6">
                  <c:v>43902</c:v>
                </c:pt>
                <c:pt idx="7">
                  <c:v>43903</c:v>
                </c:pt>
                <c:pt idx="8">
                  <c:v>43904</c:v>
                </c:pt>
                <c:pt idx="9">
                  <c:v>43905</c:v>
                </c:pt>
                <c:pt idx="10">
                  <c:v>43906</c:v>
                </c:pt>
                <c:pt idx="11">
                  <c:v>43907</c:v>
                </c:pt>
                <c:pt idx="12">
                  <c:v>43908</c:v>
                </c:pt>
                <c:pt idx="13">
                  <c:v>43909</c:v>
                </c:pt>
                <c:pt idx="14">
                  <c:v>43910</c:v>
                </c:pt>
                <c:pt idx="15">
                  <c:v>43911</c:v>
                </c:pt>
                <c:pt idx="16">
                  <c:v>43912</c:v>
                </c:pt>
                <c:pt idx="17">
                  <c:v>43913</c:v>
                </c:pt>
                <c:pt idx="18">
                  <c:v>43914</c:v>
                </c:pt>
                <c:pt idx="19">
                  <c:v>43915</c:v>
                </c:pt>
                <c:pt idx="20">
                  <c:v>43916</c:v>
                </c:pt>
                <c:pt idx="21">
                  <c:v>43917</c:v>
                </c:pt>
                <c:pt idx="22">
                  <c:v>43918</c:v>
                </c:pt>
                <c:pt idx="23">
                  <c:v>43919</c:v>
                </c:pt>
                <c:pt idx="24">
                  <c:v>43920</c:v>
                </c:pt>
                <c:pt idx="25">
                  <c:v>43921</c:v>
                </c:pt>
                <c:pt idx="26">
                  <c:v>43922</c:v>
                </c:pt>
                <c:pt idx="27">
                  <c:v>43923</c:v>
                </c:pt>
                <c:pt idx="28">
                  <c:v>43924</c:v>
                </c:pt>
                <c:pt idx="29">
                  <c:v>43925</c:v>
                </c:pt>
                <c:pt idx="30">
                  <c:v>43926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43931</c:v>
                </c:pt>
                <c:pt idx="36">
                  <c:v>43932</c:v>
                </c:pt>
                <c:pt idx="37">
                  <c:v>43933</c:v>
                </c:pt>
                <c:pt idx="38">
                  <c:v>43934</c:v>
                </c:pt>
                <c:pt idx="39">
                  <c:v>43935</c:v>
                </c:pt>
                <c:pt idx="40">
                  <c:v>43936</c:v>
                </c:pt>
                <c:pt idx="41">
                  <c:v>43937</c:v>
                </c:pt>
                <c:pt idx="42">
                  <c:v>43938</c:v>
                </c:pt>
                <c:pt idx="43">
                  <c:v>43939</c:v>
                </c:pt>
                <c:pt idx="44">
                  <c:v>43940</c:v>
                </c:pt>
                <c:pt idx="45">
                  <c:v>43941</c:v>
                </c:pt>
                <c:pt idx="46">
                  <c:v>43942</c:v>
                </c:pt>
                <c:pt idx="47">
                  <c:v>43943</c:v>
                </c:pt>
                <c:pt idx="48">
                  <c:v>43944</c:v>
                </c:pt>
                <c:pt idx="49">
                  <c:v>43945</c:v>
                </c:pt>
                <c:pt idx="50">
                  <c:v>43946</c:v>
                </c:pt>
                <c:pt idx="51">
                  <c:v>43947</c:v>
                </c:pt>
                <c:pt idx="52">
                  <c:v>43948</c:v>
                </c:pt>
                <c:pt idx="53">
                  <c:v>43949</c:v>
                </c:pt>
                <c:pt idx="54">
                  <c:v>43950</c:v>
                </c:pt>
                <c:pt idx="55">
                  <c:v>43951</c:v>
                </c:pt>
                <c:pt idx="56">
                  <c:v>43952</c:v>
                </c:pt>
                <c:pt idx="57">
                  <c:v>43953</c:v>
                </c:pt>
                <c:pt idx="58">
                  <c:v>43954</c:v>
                </c:pt>
                <c:pt idx="59">
                  <c:v>43955</c:v>
                </c:pt>
                <c:pt idx="60">
                  <c:v>43956</c:v>
                </c:pt>
                <c:pt idx="61">
                  <c:v>43957</c:v>
                </c:pt>
                <c:pt idx="62">
                  <c:v>43958</c:v>
                </c:pt>
                <c:pt idx="63">
                  <c:v>43959</c:v>
                </c:pt>
                <c:pt idx="64">
                  <c:v>43960</c:v>
                </c:pt>
                <c:pt idx="65">
                  <c:v>43961</c:v>
                </c:pt>
                <c:pt idx="66">
                  <c:v>43962</c:v>
                </c:pt>
                <c:pt idx="67">
                  <c:v>43963</c:v>
                </c:pt>
                <c:pt idx="68">
                  <c:v>43964</c:v>
                </c:pt>
                <c:pt idx="69">
                  <c:v>43965</c:v>
                </c:pt>
                <c:pt idx="70">
                  <c:v>43966</c:v>
                </c:pt>
                <c:pt idx="71">
                  <c:v>43967</c:v>
                </c:pt>
                <c:pt idx="72">
                  <c:v>43968</c:v>
                </c:pt>
                <c:pt idx="73">
                  <c:v>43969</c:v>
                </c:pt>
                <c:pt idx="74">
                  <c:v>43970</c:v>
                </c:pt>
                <c:pt idx="75">
                  <c:v>43971</c:v>
                </c:pt>
                <c:pt idx="76">
                  <c:v>43972</c:v>
                </c:pt>
                <c:pt idx="77">
                  <c:v>43973</c:v>
                </c:pt>
                <c:pt idx="78">
                  <c:v>43974</c:v>
                </c:pt>
                <c:pt idx="79">
                  <c:v>43975</c:v>
                </c:pt>
                <c:pt idx="80">
                  <c:v>43976</c:v>
                </c:pt>
                <c:pt idx="81">
                  <c:v>43977</c:v>
                </c:pt>
                <c:pt idx="82">
                  <c:v>43978</c:v>
                </c:pt>
                <c:pt idx="83">
                  <c:v>43979</c:v>
                </c:pt>
                <c:pt idx="84">
                  <c:v>43980</c:v>
                </c:pt>
                <c:pt idx="85">
                  <c:v>43981</c:v>
                </c:pt>
                <c:pt idx="86">
                  <c:v>43982</c:v>
                </c:pt>
                <c:pt idx="87">
                  <c:v>43983</c:v>
                </c:pt>
                <c:pt idx="88">
                  <c:v>43984</c:v>
                </c:pt>
                <c:pt idx="89">
                  <c:v>43985</c:v>
                </c:pt>
                <c:pt idx="90">
                  <c:v>43986</c:v>
                </c:pt>
                <c:pt idx="91">
                  <c:v>43987</c:v>
                </c:pt>
                <c:pt idx="92">
                  <c:v>43988</c:v>
                </c:pt>
                <c:pt idx="93">
                  <c:v>43989</c:v>
                </c:pt>
                <c:pt idx="94">
                  <c:v>43990</c:v>
                </c:pt>
                <c:pt idx="95">
                  <c:v>43991</c:v>
                </c:pt>
                <c:pt idx="96">
                  <c:v>43992</c:v>
                </c:pt>
                <c:pt idx="97">
                  <c:v>43993</c:v>
                </c:pt>
                <c:pt idx="98">
                  <c:v>43994</c:v>
                </c:pt>
                <c:pt idx="99">
                  <c:v>43995</c:v>
                </c:pt>
                <c:pt idx="100">
                  <c:v>43996</c:v>
                </c:pt>
                <c:pt idx="101">
                  <c:v>43997</c:v>
                </c:pt>
                <c:pt idx="102">
                  <c:v>43998</c:v>
                </c:pt>
                <c:pt idx="103">
                  <c:v>43999</c:v>
                </c:pt>
                <c:pt idx="104">
                  <c:v>44000</c:v>
                </c:pt>
                <c:pt idx="105">
                  <c:v>44001</c:v>
                </c:pt>
                <c:pt idx="106">
                  <c:v>44002</c:v>
                </c:pt>
                <c:pt idx="107">
                  <c:v>44003</c:v>
                </c:pt>
                <c:pt idx="108">
                  <c:v>44004</c:v>
                </c:pt>
                <c:pt idx="109">
                  <c:v>44005</c:v>
                </c:pt>
                <c:pt idx="110">
                  <c:v>44006</c:v>
                </c:pt>
                <c:pt idx="111">
                  <c:v>44007</c:v>
                </c:pt>
                <c:pt idx="112">
                  <c:v>44008</c:v>
                </c:pt>
                <c:pt idx="113">
                  <c:v>44009</c:v>
                </c:pt>
                <c:pt idx="114">
                  <c:v>44010</c:v>
                </c:pt>
                <c:pt idx="115">
                  <c:v>44011</c:v>
                </c:pt>
                <c:pt idx="116">
                  <c:v>44012</c:v>
                </c:pt>
                <c:pt idx="117">
                  <c:v>44013</c:v>
                </c:pt>
                <c:pt idx="118">
                  <c:v>44014</c:v>
                </c:pt>
                <c:pt idx="119">
                  <c:v>44015</c:v>
                </c:pt>
                <c:pt idx="120">
                  <c:v>44016</c:v>
                </c:pt>
                <c:pt idx="121">
                  <c:v>44017</c:v>
                </c:pt>
                <c:pt idx="122">
                  <c:v>44018</c:v>
                </c:pt>
                <c:pt idx="123">
                  <c:v>44019</c:v>
                </c:pt>
                <c:pt idx="124">
                  <c:v>44020</c:v>
                </c:pt>
                <c:pt idx="125">
                  <c:v>44021</c:v>
                </c:pt>
                <c:pt idx="126">
                  <c:v>44022</c:v>
                </c:pt>
                <c:pt idx="127">
                  <c:v>44023</c:v>
                </c:pt>
                <c:pt idx="128">
                  <c:v>44024</c:v>
                </c:pt>
                <c:pt idx="129">
                  <c:v>44025</c:v>
                </c:pt>
                <c:pt idx="130">
                  <c:v>44026</c:v>
                </c:pt>
                <c:pt idx="131">
                  <c:v>44027</c:v>
                </c:pt>
                <c:pt idx="132">
                  <c:v>44028</c:v>
                </c:pt>
                <c:pt idx="133">
                  <c:v>44029</c:v>
                </c:pt>
                <c:pt idx="134">
                  <c:v>44030</c:v>
                </c:pt>
                <c:pt idx="135">
                  <c:v>44031</c:v>
                </c:pt>
                <c:pt idx="136">
                  <c:v>44032</c:v>
                </c:pt>
                <c:pt idx="137">
                  <c:v>44033</c:v>
                </c:pt>
                <c:pt idx="138">
                  <c:v>44034</c:v>
                </c:pt>
                <c:pt idx="139">
                  <c:v>44035</c:v>
                </c:pt>
                <c:pt idx="140">
                  <c:v>44036</c:v>
                </c:pt>
                <c:pt idx="141">
                  <c:v>44037</c:v>
                </c:pt>
                <c:pt idx="142">
                  <c:v>44038</c:v>
                </c:pt>
                <c:pt idx="143">
                  <c:v>44039</c:v>
                </c:pt>
                <c:pt idx="144">
                  <c:v>44040</c:v>
                </c:pt>
                <c:pt idx="145">
                  <c:v>44041</c:v>
                </c:pt>
                <c:pt idx="146">
                  <c:v>44042</c:v>
                </c:pt>
                <c:pt idx="147">
                  <c:v>44043</c:v>
                </c:pt>
                <c:pt idx="148">
                  <c:v>44044</c:v>
                </c:pt>
                <c:pt idx="149">
                  <c:v>44045</c:v>
                </c:pt>
                <c:pt idx="150">
                  <c:v>44046</c:v>
                </c:pt>
                <c:pt idx="151">
                  <c:v>44047</c:v>
                </c:pt>
                <c:pt idx="152">
                  <c:v>44048</c:v>
                </c:pt>
                <c:pt idx="153">
                  <c:v>44049</c:v>
                </c:pt>
                <c:pt idx="154">
                  <c:v>44050</c:v>
                </c:pt>
                <c:pt idx="155">
                  <c:v>44051</c:v>
                </c:pt>
                <c:pt idx="156">
                  <c:v>44052</c:v>
                </c:pt>
                <c:pt idx="157">
                  <c:v>44053</c:v>
                </c:pt>
                <c:pt idx="158">
                  <c:v>44054</c:v>
                </c:pt>
                <c:pt idx="159">
                  <c:v>44055</c:v>
                </c:pt>
                <c:pt idx="160">
                  <c:v>44056</c:v>
                </c:pt>
                <c:pt idx="161">
                  <c:v>44057</c:v>
                </c:pt>
                <c:pt idx="162">
                  <c:v>44058</c:v>
                </c:pt>
                <c:pt idx="163">
                  <c:v>44059</c:v>
                </c:pt>
                <c:pt idx="164">
                  <c:v>44060</c:v>
                </c:pt>
                <c:pt idx="165">
                  <c:v>44061</c:v>
                </c:pt>
                <c:pt idx="166">
                  <c:v>44062</c:v>
                </c:pt>
                <c:pt idx="167">
                  <c:v>44063</c:v>
                </c:pt>
                <c:pt idx="168">
                  <c:v>44064</c:v>
                </c:pt>
                <c:pt idx="169">
                  <c:v>44065</c:v>
                </c:pt>
                <c:pt idx="170">
                  <c:v>44066</c:v>
                </c:pt>
                <c:pt idx="171">
                  <c:v>44067</c:v>
                </c:pt>
                <c:pt idx="172">
                  <c:v>44068</c:v>
                </c:pt>
                <c:pt idx="173">
                  <c:v>44069</c:v>
                </c:pt>
                <c:pt idx="174">
                  <c:v>44070</c:v>
                </c:pt>
                <c:pt idx="175">
                  <c:v>44071</c:v>
                </c:pt>
                <c:pt idx="176">
                  <c:v>44072</c:v>
                </c:pt>
                <c:pt idx="177">
                  <c:v>44073</c:v>
                </c:pt>
                <c:pt idx="178">
                  <c:v>44074</c:v>
                </c:pt>
                <c:pt idx="179">
                  <c:v>44075</c:v>
                </c:pt>
                <c:pt idx="180">
                  <c:v>44076</c:v>
                </c:pt>
                <c:pt idx="181">
                  <c:v>44077</c:v>
                </c:pt>
                <c:pt idx="182">
                  <c:v>44078</c:v>
                </c:pt>
                <c:pt idx="183">
                  <c:v>44079</c:v>
                </c:pt>
                <c:pt idx="184">
                  <c:v>44080</c:v>
                </c:pt>
                <c:pt idx="185">
                  <c:v>44081</c:v>
                </c:pt>
                <c:pt idx="186">
                  <c:v>44082</c:v>
                </c:pt>
                <c:pt idx="187">
                  <c:v>44083</c:v>
                </c:pt>
                <c:pt idx="188">
                  <c:v>44084</c:v>
                </c:pt>
                <c:pt idx="189">
                  <c:v>44085</c:v>
                </c:pt>
                <c:pt idx="190">
                  <c:v>44086</c:v>
                </c:pt>
                <c:pt idx="191">
                  <c:v>44087</c:v>
                </c:pt>
                <c:pt idx="192">
                  <c:v>44088</c:v>
                </c:pt>
                <c:pt idx="193">
                  <c:v>44089</c:v>
                </c:pt>
                <c:pt idx="194">
                  <c:v>44090</c:v>
                </c:pt>
                <c:pt idx="195">
                  <c:v>44091</c:v>
                </c:pt>
                <c:pt idx="196">
                  <c:v>44092</c:v>
                </c:pt>
                <c:pt idx="197">
                  <c:v>44093</c:v>
                </c:pt>
                <c:pt idx="198">
                  <c:v>44094</c:v>
                </c:pt>
                <c:pt idx="199">
                  <c:v>44095</c:v>
                </c:pt>
                <c:pt idx="200">
                  <c:v>44096</c:v>
                </c:pt>
                <c:pt idx="201">
                  <c:v>44097</c:v>
                </c:pt>
                <c:pt idx="202">
                  <c:v>44098</c:v>
                </c:pt>
                <c:pt idx="203">
                  <c:v>44099</c:v>
                </c:pt>
                <c:pt idx="204">
                  <c:v>44100</c:v>
                </c:pt>
                <c:pt idx="205">
                  <c:v>44101</c:v>
                </c:pt>
                <c:pt idx="206">
                  <c:v>44102</c:v>
                </c:pt>
                <c:pt idx="207">
                  <c:v>44103</c:v>
                </c:pt>
                <c:pt idx="208">
                  <c:v>44104</c:v>
                </c:pt>
                <c:pt idx="209">
                  <c:v>44105</c:v>
                </c:pt>
                <c:pt idx="210">
                  <c:v>44106</c:v>
                </c:pt>
                <c:pt idx="211">
                  <c:v>44107</c:v>
                </c:pt>
                <c:pt idx="212">
                  <c:v>44108</c:v>
                </c:pt>
                <c:pt idx="213">
                  <c:v>44109</c:v>
                </c:pt>
                <c:pt idx="214">
                  <c:v>44110</c:v>
                </c:pt>
                <c:pt idx="215">
                  <c:v>44111</c:v>
                </c:pt>
                <c:pt idx="216">
                  <c:v>44112</c:v>
                </c:pt>
                <c:pt idx="217">
                  <c:v>44113</c:v>
                </c:pt>
                <c:pt idx="218">
                  <c:v>44114</c:v>
                </c:pt>
                <c:pt idx="219">
                  <c:v>44115</c:v>
                </c:pt>
                <c:pt idx="220">
                  <c:v>44116</c:v>
                </c:pt>
                <c:pt idx="221">
                  <c:v>44117</c:v>
                </c:pt>
                <c:pt idx="222">
                  <c:v>44118</c:v>
                </c:pt>
                <c:pt idx="223">
                  <c:v>44119</c:v>
                </c:pt>
                <c:pt idx="224">
                  <c:v>44120</c:v>
                </c:pt>
                <c:pt idx="225">
                  <c:v>44121</c:v>
                </c:pt>
                <c:pt idx="226">
                  <c:v>44122</c:v>
                </c:pt>
                <c:pt idx="227">
                  <c:v>44123</c:v>
                </c:pt>
                <c:pt idx="228">
                  <c:v>44124</c:v>
                </c:pt>
                <c:pt idx="229">
                  <c:v>44125</c:v>
                </c:pt>
                <c:pt idx="230">
                  <c:v>44126</c:v>
                </c:pt>
                <c:pt idx="231">
                  <c:v>44127</c:v>
                </c:pt>
                <c:pt idx="232">
                  <c:v>44128</c:v>
                </c:pt>
                <c:pt idx="233">
                  <c:v>44129</c:v>
                </c:pt>
                <c:pt idx="234">
                  <c:v>44130</c:v>
                </c:pt>
                <c:pt idx="235">
                  <c:v>44131</c:v>
                </c:pt>
                <c:pt idx="236">
                  <c:v>44132</c:v>
                </c:pt>
                <c:pt idx="237">
                  <c:v>44133</c:v>
                </c:pt>
                <c:pt idx="238">
                  <c:v>44134</c:v>
                </c:pt>
                <c:pt idx="239">
                  <c:v>44135</c:v>
                </c:pt>
                <c:pt idx="240">
                  <c:v>44136</c:v>
                </c:pt>
                <c:pt idx="241">
                  <c:v>44137</c:v>
                </c:pt>
                <c:pt idx="242">
                  <c:v>44138</c:v>
                </c:pt>
                <c:pt idx="243">
                  <c:v>44139</c:v>
                </c:pt>
                <c:pt idx="244">
                  <c:v>44140</c:v>
                </c:pt>
                <c:pt idx="245">
                  <c:v>44142</c:v>
                </c:pt>
                <c:pt idx="246">
                  <c:v>44143</c:v>
                </c:pt>
                <c:pt idx="247">
                  <c:v>44144</c:v>
                </c:pt>
                <c:pt idx="248">
                  <c:v>44145</c:v>
                </c:pt>
                <c:pt idx="249">
                  <c:v>44146</c:v>
                </c:pt>
                <c:pt idx="250">
                  <c:v>44147</c:v>
                </c:pt>
                <c:pt idx="251">
                  <c:v>44148</c:v>
                </c:pt>
                <c:pt idx="252">
                  <c:v>44149</c:v>
                </c:pt>
                <c:pt idx="253">
                  <c:v>44150</c:v>
                </c:pt>
                <c:pt idx="254">
                  <c:v>44151</c:v>
                </c:pt>
                <c:pt idx="255">
                  <c:v>44152</c:v>
                </c:pt>
                <c:pt idx="256">
                  <c:v>44153</c:v>
                </c:pt>
                <c:pt idx="257">
                  <c:v>44154</c:v>
                </c:pt>
                <c:pt idx="258">
                  <c:v>44155</c:v>
                </c:pt>
                <c:pt idx="259">
                  <c:v>44156</c:v>
                </c:pt>
                <c:pt idx="260">
                  <c:v>44157</c:v>
                </c:pt>
                <c:pt idx="261">
                  <c:v>44158</c:v>
                </c:pt>
                <c:pt idx="262">
                  <c:v>44159</c:v>
                </c:pt>
                <c:pt idx="263">
                  <c:v>44160</c:v>
                </c:pt>
                <c:pt idx="264">
                  <c:v>44161</c:v>
                </c:pt>
                <c:pt idx="265">
                  <c:v>44162</c:v>
                </c:pt>
                <c:pt idx="266">
                  <c:v>44163</c:v>
                </c:pt>
                <c:pt idx="267">
                  <c:v>44164</c:v>
                </c:pt>
                <c:pt idx="268">
                  <c:v>44165</c:v>
                </c:pt>
                <c:pt idx="269">
                  <c:v>44166</c:v>
                </c:pt>
                <c:pt idx="270">
                  <c:v>44167</c:v>
                </c:pt>
                <c:pt idx="271">
                  <c:v>44168</c:v>
                </c:pt>
                <c:pt idx="272">
                  <c:v>44169</c:v>
                </c:pt>
                <c:pt idx="273">
                  <c:v>44170</c:v>
                </c:pt>
                <c:pt idx="274">
                  <c:v>44172</c:v>
                </c:pt>
                <c:pt idx="275">
                  <c:v>44173</c:v>
                </c:pt>
                <c:pt idx="276">
                  <c:v>44174</c:v>
                </c:pt>
                <c:pt idx="277">
                  <c:v>44175</c:v>
                </c:pt>
                <c:pt idx="278">
                  <c:v>44176</c:v>
                </c:pt>
                <c:pt idx="279">
                  <c:v>44177</c:v>
                </c:pt>
                <c:pt idx="280">
                  <c:v>44178</c:v>
                </c:pt>
                <c:pt idx="281">
                  <c:v>44179</c:v>
                </c:pt>
                <c:pt idx="282">
                  <c:v>44180</c:v>
                </c:pt>
                <c:pt idx="283">
                  <c:v>44181</c:v>
                </c:pt>
                <c:pt idx="284">
                  <c:v>44182</c:v>
                </c:pt>
                <c:pt idx="285">
                  <c:v>44183</c:v>
                </c:pt>
                <c:pt idx="286">
                  <c:v>44184</c:v>
                </c:pt>
                <c:pt idx="287">
                  <c:v>44185</c:v>
                </c:pt>
                <c:pt idx="288">
                  <c:v>44186</c:v>
                </c:pt>
                <c:pt idx="289">
                  <c:v>44187</c:v>
                </c:pt>
                <c:pt idx="290">
                  <c:v>44188</c:v>
                </c:pt>
                <c:pt idx="291">
                  <c:v>44189</c:v>
                </c:pt>
                <c:pt idx="292">
                  <c:v>44190</c:v>
                </c:pt>
                <c:pt idx="293">
                  <c:v>44191</c:v>
                </c:pt>
                <c:pt idx="294">
                  <c:v>44192</c:v>
                </c:pt>
                <c:pt idx="295">
                  <c:v>44193</c:v>
                </c:pt>
                <c:pt idx="296">
                  <c:v>44194</c:v>
                </c:pt>
                <c:pt idx="297">
                  <c:v>44195</c:v>
                </c:pt>
                <c:pt idx="298">
                  <c:v>44196</c:v>
                </c:pt>
                <c:pt idx="299">
                  <c:v>44197</c:v>
                </c:pt>
                <c:pt idx="300">
                  <c:v>44198</c:v>
                </c:pt>
                <c:pt idx="301">
                  <c:v>44199</c:v>
                </c:pt>
                <c:pt idx="302">
                  <c:v>44200</c:v>
                </c:pt>
                <c:pt idx="303">
                  <c:v>44201</c:v>
                </c:pt>
                <c:pt idx="304">
                  <c:v>44202</c:v>
                </c:pt>
                <c:pt idx="305">
                  <c:v>44203</c:v>
                </c:pt>
                <c:pt idx="306">
                  <c:v>44204</c:v>
                </c:pt>
                <c:pt idx="307">
                  <c:v>44205</c:v>
                </c:pt>
                <c:pt idx="308">
                  <c:v>44206</c:v>
                </c:pt>
                <c:pt idx="309">
                  <c:v>44207</c:v>
                </c:pt>
                <c:pt idx="310">
                  <c:v>44208</c:v>
                </c:pt>
                <c:pt idx="311">
                  <c:v>44209</c:v>
                </c:pt>
                <c:pt idx="312">
                  <c:v>44210</c:v>
                </c:pt>
                <c:pt idx="313">
                  <c:v>44211</c:v>
                </c:pt>
                <c:pt idx="314">
                  <c:v>44212</c:v>
                </c:pt>
                <c:pt idx="315">
                  <c:v>44213</c:v>
                </c:pt>
                <c:pt idx="316">
                  <c:v>44214</c:v>
                </c:pt>
                <c:pt idx="317">
                  <c:v>44215</c:v>
                </c:pt>
                <c:pt idx="318">
                  <c:v>44216</c:v>
                </c:pt>
                <c:pt idx="319">
                  <c:v>44217</c:v>
                </c:pt>
                <c:pt idx="320">
                  <c:v>44218</c:v>
                </c:pt>
                <c:pt idx="321">
                  <c:v>44219</c:v>
                </c:pt>
                <c:pt idx="322">
                  <c:v>44220</c:v>
                </c:pt>
                <c:pt idx="323">
                  <c:v>44221</c:v>
                </c:pt>
                <c:pt idx="324">
                  <c:v>44222</c:v>
                </c:pt>
                <c:pt idx="325">
                  <c:v>44223</c:v>
                </c:pt>
                <c:pt idx="326">
                  <c:v>44224</c:v>
                </c:pt>
                <c:pt idx="327">
                  <c:v>44225</c:v>
                </c:pt>
                <c:pt idx="328">
                  <c:v>44226</c:v>
                </c:pt>
                <c:pt idx="329">
                  <c:v>44227</c:v>
                </c:pt>
                <c:pt idx="330">
                  <c:v>44228</c:v>
                </c:pt>
                <c:pt idx="331">
                  <c:v>44229</c:v>
                </c:pt>
                <c:pt idx="332">
                  <c:v>44230</c:v>
                </c:pt>
                <c:pt idx="333">
                  <c:v>44231</c:v>
                </c:pt>
                <c:pt idx="334">
                  <c:v>44232</c:v>
                </c:pt>
                <c:pt idx="335">
                  <c:v>44233</c:v>
                </c:pt>
                <c:pt idx="336">
                  <c:v>44234</c:v>
                </c:pt>
                <c:pt idx="337">
                  <c:v>44235</c:v>
                </c:pt>
                <c:pt idx="338">
                  <c:v>44236</c:v>
                </c:pt>
                <c:pt idx="339">
                  <c:v>44237</c:v>
                </c:pt>
                <c:pt idx="340">
                  <c:v>44238</c:v>
                </c:pt>
                <c:pt idx="341">
                  <c:v>44239</c:v>
                </c:pt>
                <c:pt idx="342">
                  <c:v>44240</c:v>
                </c:pt>
                <c:pt idx="343">
                  <c:v>44241</c:v>
                </c:pt>
                <c:pt idx="344">
                  <c:v>44242</c:v>
                </c:pt>
                <c:pt idx="345">
                  <c:v>44243</c:v>
                </c:pt>
                <c:pt idx="346">
                  <c:v>44244</c:v>
                </c:pt>
                <c:pt idx="347">
                  <c:v>44245</c:v>
                </c:pt>
                <c:pt idx="348">
                  <c:v>44246</c:v>
                </c:pt>
                <c:pt idx="349">
                  <c:v>44247</c:v>
                </c:pt>
                <c:pt idx="350">
                  <c:v>44248</c:v>
                </c:pt>
                <c:pt idx="351">
                  <c:v>44249</c:v>
                </c:pt>
                <c:pt idx="352">
                  <c:v>44250</c:v>
                </c:pt>
                <c:pt idx="353">
                  <c:v>44251</c:v>
                </c:pt>
                <c:pt idx="354">
                  <c:v>44252</c:v>
                </c:pt>
                <c:pt idx="355">
                  <c:v>44253</c:v>
                </c:pt>
                <c:pt idx="356">
                  <c:v>44254</c:v>
                </c:pt>
                <c:pt idx="357">
                  <c:v>44255</c:v>
                </c:pt>
                <c:pt idx="358">
                  <c:v>44256</c:v>
                </c:pt>
                <c:pt idx="359">
                  <c:v>44257</c:v>
                </c:pt>
                <c:pt idx="360">
                  <c:v>44258</c:v>
                </c:pt>
                <c:pt idx="361">
                  <c:v>44259</c:v>
                </c:pt>
                <c:pt idx="362">
                  <c:v>44260</c:v>
                </c:pt>
                <c:pt idx="363">
                  <c:v>44261</c:v>
                </c:pt>
                <c:pt idx="364">
                  <c:v>44262</c:v>
                </c:pt>
                <c:pt idx="365">
                  <c:v>44263</c:v>
                </c:pt>
                <c:pt idx="366">
                  <c:v>44264</c:v>
                </c:pt>
                <c:pt idx="367">
                  <c:v>44265</c:v>
                </c:pt>
                <c:pt idx="368">
                  <c:v>44266</c:v>
                </c:pt>
                <c:pt idx="369">
                  <c:v>44267</c:v>
                </c:pt>
                <c:pt idx="370">
                  <c:v>44268</c:v>
                </c:pt>
                <c:pt idx="371">
                  <c:v>44269</c:v>
                </c:pt>
                <c:pt idx="372">
                  <c:v>44270</c:v>
                </c:pt>
                <c:pt idx="373">
                  <c:v>44271</c:v>
                </c:pt>
                <c:pt idx="374">
                  <c:v>44272</c:v>
                </c:pt>
                <c:pt idx="375">
                  <c:v>44273</c:v>
                </c:pt>
                <c:pt idx="376">
                  <c:v>44274</c:v>
                </c:pt>
                <c:pt idx="377">
                  <c:v>44275</c:v>
                </c:pt>
                <c:pt idx="378">
                  <c:v>44276</c:v>
                </c:pt>
                <c:pt idx="379">
                  <c:v>44277</c:v>
                </c:pt>
                <c:pt idx="380">
                  <c:v>44278</c:v>
                </c:pt>
                <c:pt idx="381">
                  <c:v>44279</c:v>
                </c:pt>
                <c:pt idx="382">
                  <c:v>44280</c:v>
                </c:pt>
                <c:pt idx="383">
                  <c:v>44281</c:v>
                </c:pt>
                <c:pt idx="384">
                  <c:v>44282</c:v>
                </c:pt>
                <c:pt idx="385">
                  <c:v>44283</c:v>
                </c:pt>
                <c:pt idx="386">
                  <c:v>44284</c:v>
                </c:pt>
                <c:pt idx="387">
                  <c:v>44285</c:v>
                </c:pt>
                <c:pt idx="388">
                  <c:v>44286</c:v>
                </c:pt>
                <c:pt idx="389">
                  <c:v>44287</c:v>
                </c:pt>
                <c:pt idx="390">
                  <c:v>44288</c:v>
                </c:pt>
                <c:pt idx="391">
                  <c:v>44289</c:v>
                </c:pt>
                <c:pt idx="392">
                  <c:v>44290</c:v>
                </c:pt>
                <c:pt idx="393">
                  <c:v>44291</c:v>
                </c:pt>
                <c:pt idx="394">
                  <c:v>44292</c:v>
                </c:pt>
                <c:pt idx="395">
                  <c:v>44293</c:v>
                </c:pt>
                <c:pt idx="396">
                  <c:v>44294</c:v>
                </c:pt>
                <c:pt idx="397">
                  <c:v>44295</c:v>
                </c:pt>
                <c:pt idx="398">
                  <c:v>44296</c:v>
                </c:pt>
                <c:pt idx="399">
                  <c:v>44297</c:v>
                </c:pt>
                <c:pt idx="400">
                  <c:v>44298</c:v>
                </c:pt>
                <c:pt idx="401">
                  <c:v>44299</c:v>
                </c:pt>
                <c:pt idx="402">
                  <c:v>44300</c:v>
                </c:pt>
                <c:pt idx="403">
                  <c:v>44301</c:v>
                </c:pt>
                <c:pt idx="404">
                  <c:v>44302</c:v>
                </c:pt>
                <c:pt idx="405">
                  <c:v>44303</c:v>
                </c:pt>
                <c:pt idx="406">
                  <c:v>44304</c:v>
                </c:pt>
                <c:pt idx="407">
                  <c:v>44305</c:v>
                </c:pt>
                <c:pt idx="408">
                  <c:v>44306</c:v>
                </c:pt>
                <c:pt idx="409">
                  <c:v>44307</c:v>
                </c:pt>
                <c:pt idx="410">
                  <c:v>44308</c:v>
                </c:pt>
                <c:pt idx="411">
                  <c:v>44309</c:v>
                </c:pt>
                <c:pt idx="412">
                  <c:v>44310</c:v>
                </c:pt>
                <c:pt idx="413">
                  <c:v>44311</c:v>
                </c:pt>
                <c:pt idx="414">
                  <c:v>44312</c:v>
                </c:pt>
                <c:pt idx="415">
                  <c:v>44313</c:v>
                </c:pt>
                <c:pt idx="416">
                  <c:v>44314</c:v>
                </c:pt>
                <c:pt idx="417">
                  <c:v>44315</c:v>
                </c:pt>
                <c:pt idx="418">
                  <c:v>44316</c:v>
                </c:pt>
                <c:pt idx="419">
                  <c:v>44317</c:v>
                </c:pt>
                <c:pt idx="420">
                  <c:v>44318</c:v>
                </c:pt>
                <c:pt idx="421">
                  <c:v>44319</c:v>
                </c:pt>
                <c:pt idx="422">
                  <c:v>44320</c:v>
                </c:pt>
                <c:pt idx="423">
                  <c:v>44321</c:v>
                </c:pt>
                <c:pt idx="424">
                  <c:v>44322</c:v>
                </c:pt>
                <c:pt idx="425">
                  <c:v>44323</c:v>
                </c:pt>
                <c:pt idx="426">
                  <c:v>44324</c:v>
                </c:pt>
                <c:pt idx="427">
                  <c:v>44325</c:v>
                </c:pt>
                <c:pt idx="428">
                  <c:v>44326</c:v>
                </c:pt>
                <c:pt idx="429">
                  <c:v>44327</c:v>
                </c:pt>
                <c:pt idx="430">
                  <c:v>44328</c:v>
                </c:pt>
                <c:pt idx="431">
                  <c:v>44329</c:v>
                </c:pt>
                <c:pt idx="432">
                  <c:v>44330</c:v>
                </c:pt>
                <c:pt idx="433">
                  <c:v>44331</c:v>
                </c:pt>
                <c:pt idx="434">
                  <c:v>44332</c:v>
                </c:pt>
                <c:pt idx="435">
                  <c:v>44333</c:v>
                </c:pt>
                <c:pt idx="436">
                  <c:v>44334</c:v>
                </c:pt>
                <c:pt idx="437">
                  <c:v>44335</c:v>
                </c:pt>
                <c:pt idx="438">
                  <c:v>44336</c:v>
                </c:pt>
                <c:pt idx="439">
                  <c:v>44337</c:v>
                </c:pt>
                <c:pt idx="440">
                  <c:v>44338</c:v>
                </c:pt>
                <c:pt idx="441">
                  <c:v>44339</c:v>
                </c:pt>
                <c:pt idx="442">
                  <c:v>44340</c:v>
                </c:pt>
                <c:pt idx="443">
                  <c:v>44341</c:v>
                </c:pt>
                <c:pt idx="444">
                  <c:v>44342</c:v>
                </c:pt>
                <c:pt idx="445">
                  <c:v>44343</c:v>
                </c:pt>
                <c:pt idx="446">
                  <c:v>44344</c:v>
                </c:pt>
                <c:pt idx="447">
                  <c:v>44345</c:v>
                </c:pt>
                <c:pt idx="448">
                  <c:v>44346</c:v>
                </c:pt>
                <c:pt idx="449">
                  <c:v>44347</c:v>
                </c:pt>
                <c:pt idx="450">
                  <c:v>44348</c:v>
                </c:pt>
                <c:pt idx="451">
                  <c:v>44349</c:v>
                </c:pt>
                <c:pt idx="452">
                  <c:v>44350</c:v>
                </c:pt>
                <c:pt idx="453">
                  <c:v>44351</c:v>
                </c:pt>
                <c:pt idx="454">
                  <c:v>44352</c:v>
                </c:pt>
                <c:pt idx="455">
                  <c:v>44353</c:v>
                </c:pt>
                <c:pt idx="456">
                  <c:v>44354</c:v>
                </c:pt>
                <c:pt idx="457">
                  <c:v>44355</c:v>
                </c:pt>
                <c:pt idx="458">
                  <c:v>44356</c:v>
                </c:pt>
                <c:pt idx="459">
                  <c:v>44357</c:v>
                </c:pt>
                <c:pt idx="460">
                  <c:v>44358</c:v>
                </c:pt>
                <c:pt idx="461">
                  <c:v>44359</c:v>
                </c:pt>
                <c:pt idx="462">
                  <c:v>44360</c:v>
                </c:pt>
                <c:pt idx="463">
                  <c:v>44361</c:v>
                </c:pt>
                <c:pt idx="464">
                  <c:v>44362</c:v>
                </c:pt>
                <c:pt idx="465">
                  <c:v>44363</c:v>
                </c:pt>
                <c:pt idx="466">
                  <c:v>44364</c:v>
                </c:pt>
                <c:pt idx="467">
                  <c:v>44365</c:v>
                </c:pt>
                <c:pt idx="468">
                  <c:v>44366</c:v>
                </c:pt>
                <c:pt idx="469">
                  <c:v>44367</c:v>
                </c:pt>
                <c:pt idx="470">
                  <c:v>44368</c:v>
                </c:pt>
                <c:pt idx="471">
                  <c:v>44369</c:v>
                </c:pt>
                <c:pt idx="472">
                  <c:v>44370</c:v>
                </c:pt>
                <c:pt idx="473">
                  <c:v>44371</c:v>
                </c:pt>
                <c:pt idx="474">
                  <c:v>44372</c:v>
                </c:pt>
                <c:pt idx="475">
                  <c:v>44373</c:v>
                </c:pt>
                <c:pt idx="476">
                  <c:v>44374</c:v>
                </c:pt>
                <c:pt idx="477">
                  <c:v>44375</c:v>
                </c:pt>
                <c:pt idx="478">
                  <c:v>44376</c:v>
                </c:pt>
                <c:pt idx="479">
                  <c:v>44377</c:v>
                </c:pt>
                <c:pt idx="480">
                  <c:v>44378</c:v>
                </c:pt>
                <c:pt idx="481">
                  <c:v>44379</c:v>
                </c:pt>
                <c:pt idx="482">
                  <c:v>44380</c:v>
                </c:pt>
                <c:pt idx="483">
                  <c:v>44381</c:v>
                </c:pt>
                <c:pt idx="484">
                  <c:v>44382</c:v>
                </c:pt>
                <c:pt idx="485">
                  <c:v>44383</c:v>
                </c:pt>
                <c:pt idx="486">
                  <c:v>44384</c:v>
                </c:pt>
                <c:pt idx="487">
                  <c:v>44385</c:v>
                </c:pt>
                <c:pt idx="488">
                  <c:v>44386</c:v>
                </c:pt>
                <c:pt idx="489">
                  <c:v>44387</c:v>
                </c:pt>
                <c:pt idx="490">
                  <c:v>44388</c:v>
                </c:pt>
                <c:pt idx="491">
                  <c:v>44389</c:v>
                </c:pt>
                <c:pt idx="492">
                  <c:v>44390</c:v>
                </c:pt>
                <c:pt idx="493">
                  <c:v>44391</c:v>
                </c:pt>
                <c:pt idx="494">
                  <c:v>44392</c:v>
                </c:pt>
                <c:pt idx="495">
                  <c:v>44393</c:v>
                </c:pt>
                <c:pt idx="496">
                  <c:v>44394</c:v>
                </c:pt>
                <c:pt idx="497">
                  <c:v>44395</c:v>
                </c:pt>
                <c:pt idx="498">
                  <c:v>44396</c:v>
                </c:pt>
                <c:pt idx="499">
                  <c:v>44397</c:v>
                </c:pt>
                <c:pt idx="500">
                  <c:v>44398</c:v>
                </c:pt>
                <c:pt idx="501">
                  <c:v>44399</c:v>
                </c:pt>
                <c:pt idx="502">
                  <c:v>44400</c:v>
                </c:pt>
                <c:pt idx="503">
                  <c:v>44401</c:v>
                </c:pt>
                <c:pt idx="504">
                  <c:v>44402</c:v>
                </c:pt>
                <c:pt idx="505">
                  <c:v>44403</c:v>
                </c:pt>
                <c:pt idx="506">
                  <c:v>44404</c:v>
                </c:pt>
                <c:pt idx="507">
                  <c:v>44405</c:v>
                </c:pt>
                <c:pt idx="508">
                  <c:v>44406</c:v>
                </c:pt>
                <c:pt idx="509">
                  <c:v>44407</c:v>
                </c:pt>
                <c:pt idx="510">
                  <c:v>44408</c:v>
                </c:pt>
                <c:pt idx="511">
                  <c:v>44409</c:v>
                </c:pt>
                <c:pt idx="512">
                  <c:v>44410</c:v>
                </c:pt>
                <c:pt idx="513">
                  <c:v>44411</c:v>
                </c:pt>
                <c:pt idx="514">
                  <c:v>44412</c:v>
                </c:pt>
                <c:pt idx="515">
                  <c:v>44413</c:v>
                </c:pt>
                <c:pt idx="516">
                  <c:v>44414</c:v>
                </c:pt>
                <c:pt idx="517">
                  <c:v>44415</c:v>
                </c:pt>
                <c:pt idx="518">
                  <c:v>44416</c:v>
                </c:pt>
                <c:pt idx="519">
                  <c:v>44417</c:v>
                </c:pt>
                <c:pt idx="520">
                  <c:v>44418</c:v>
                </c:pt>
                <c:pt idx="521">
                  <c:v>44419</c:v>
                </c:pt>
                <c:pt idx="522">
                  <c:v>44420</c:v>
                </c:pt>
                <c:pt idx="523">
                  <c:v>44421</c:v>
                </c:pt>
                <c:pt idx="524">
                  <c:v>44422</c:v>
                </c:pt>
                <c:pt idx="525">
                  <c:v>44423</c:v>
                </c:pt>
                <c:pt idx="526">
                  <c:v>44424</c:v>
                </c:pt>
                <c:pt idx="527">
                  <c:v>44425</c:v>
                </c:pt>
                <c:pt idx="528">
                  <c:v>44426</c:v>
                </c:pt>
                <c:pt idx="529">
                  <c:v>44427</c:v>
                </c:pt>
                <c:pt idx="530">
                  <c:v>44428</c:v>
                </c:pt>
                <c:pt idx="531">
                  <c:v>44429</c:v>
                </c:pt>
                <c:pt idx="532">
                  <c:v>44430</c:v>
                </c:pt>
                <c:pt idx="533">
                  <c:v>44431</c:v>
                </c:pt>
                <c:pt idx="534">
                  <c:v>44432</c:v>
                </c:pt>
                <c:pt idx="535">
                  <c:v>44433</c:v>
                </c:pt>
                <c:pt idx="536">
                  <c:v>44434</c:v>
                </c:pt>
                <c:pt idx="537">
                  <c:v>44435</c:v>
                </c:pt>
                <c:pt idx="538">
                  <c:v>44436</c:v>
                </c:pt>
                <c:pt idx="539">
                  <c:v>44437</c:v>
                </c:pt>
                <c:pt idx="540">
                  <c:v>44438</c:v>
                </c:pt>
                <c:pt idx="541">
                  <c:v>44439</c:v>
                </c:pt>
                <c:pt idx="542">
                  <c:v>44440</c:v>
                </c:pt>
                <c:pt idx="543">
                  <c:v>44441</c:v>
                </c:pt>
                <c:pt idx="544">
                  <c:v>44442</c:v>
                </c:pt>
                <c:pt idx="545">
                  <c:v>44443</c:v>
                </c:pt>
                <c:pt idx="546">
                  <c:v>44444</c:v>
                </c:pt>
                <c:pt idx="547">
                  <c:v>44445</c:v>
                </c:pt>
                <c:pt idx="548">
                  <c:v>44446</c:v>
                </c:pt>
                <c:pt idx="549">
                  <c:v>44447</c:v>
                </c:pt>
                <c:pt idx="550">
                  <c:v>44448</c:v>
                </c:pt>
                <c:pt idx="551">
                  <c:v>44449</c:v>
                </c:pt>
                <c:pt idx="552">
                  <c:v>44450</c:v>
                </c:pt>
                <c:pt idx="553">
                  <c:v>44451</c:v>
                </c:pt>
                <c:pt idx="554">
                  <c:v>44452</c:v>
                </c:pt>
                <c:pt idx="555">
                  <c:v>44453</c:v>
                </c:pt>
                <c:pt idx="556">
                  <c:v>44454</c:v>
                </c:pt>
                <c:pt idx="557">
                  <c:v>44455</c:v>
                </c:pt>
                <c:pt idx="558">
                  <c:v>44456</c:v>
                </c:pt>
                <c:pt idx="559">
                  <c:v>44457</c:v>
                </c:pt>
                <c:pt idx="560">
                  <c:v>44458</c:v>
                </c:pt>
                <c:pt idx="561">
                  <c:v>44459</c:v>
                </c:pt>
                <c:pt idx="562">
                  <c:v>44460</c:v>
                </c:pt>
                <c:pt idx="563">
                  <c:v>44461</c:v>
                </c:pt>
                <c:pt idx="564">
                  <c:v>44462</c:v>
                </c:pt>
                <c:pt idx="565">
                  <c:v>44463</c:v>
                </c:pt>
                <c:pt idx="566">
                  <c:v>44464</c:v>
                </c:pt>
                <c:pt idx="567">
                  <c:v>44465</c:v>
                </c:pt>
                <c:pt idx="568">
                  <c:v>44466</c:v>
                </c:pt>
                <c:pt idx="569">
                  <c:v>44467</c:v>
                </c:pt>
                <c:pt idx="570">
                  <c:v>44468</c:v>
                </c:pt>
                <c:pt idx="571">
                  <c:v>44469</c:v>
                </c:pt>
                <c:pt idx="572">
                  <c:v>44470</c:v>
                </c:pt>
                <c:pt idx="573">
                  <c:v>44471</c:v>
                </c:pt>
                <c:pt idx="574">
                  <c:v>44472</c:v>
                </c:pt>
                <c:pt idx="575">
                  <c:v>44473</c:v>
                </c:pt>
                <c:pt idx="576">
                  <c:v>44474</c:v>
                </c:pt>
                <c:pt idx="577">
                  <c:v>44475</c:v>
                </c:pt>
                <c:pt idx="578">
                  <c:v>44476</c:v>
                </c:pt>
                <c:pt idx="579">
                  <c:v>44477</c:v>
                </c:pt>
                <c:pt idx="580">
                  <c:v>44478</c:v>
                </c:pt>
                <c:pt idx="581">
                  <c:v>44479</c:v>
                </c:pt>
                <c:pt idx="582">
                  <c:v>44480</c:v>
                </c:pt>
                <c:pt idx="583">
                  <c:v>44481</c:v>
                </c:pt>
                <c:pt idx="584">
                  <c:v>44482</c:v>
                </c:pt>
                <c:pt idx="585">
                  <c:v>44483</c:v>
                </c:pt>
                <c:pt idx="586">
                  <c:v>44484</c:v>
                </c:pt>
                <c:pt idx="587">
                  <c:v>44485</c:v>
                </c:pt>
                <c:pt idx="588">
                  <c:v>44486</c:v>
                </c:pt>
                <c:pt idx="589">
                  <c:v>44487</c:v>
                </c:pt>
                <c:pt idx="590">
                  <c:v>44488</c:v>
                </c:pt>
                <c:pt idx="591">
                  <c:v>44489</c:v>
                </c:pt>
                <c:pt idx="592">
                  <c:v>44490</c:v>
                </c:pt>
                <c:pt idx="593">
                  <c:v>44491</c:v>
                </c:pt>
                <c:pt idx="594">
                  <c:v>44492</c:v>
                </c:pt>
                <c:pt idx="595">
                  <c:v>44493</c:v>
                </c:pt>
                <c:pt idx="596">
                  <c:v>44494</c:v>
                </c:pt>
                <c:pt idx="597">
                  <c:v>44495</c:v>
                </c:pt>
                <c:pt idx="598">
                  <c:v>44496</c:v>
                </c:pt>
                <c:pt idx="599">
                  <c:v>44497</c:v>
                </c:pt>
                <c:pt idx="600">
                  <c:v>44498</c:v>
                </c:pt>
                <c:pt idx="601">
                  <c:v>44499</c:v>
                </c:pt>
                <c:pt idx="602">
                  <c:v>44500</c:v>
                </c:pt>
                <c:pt idx="603">
                  <c:v>44501</c:v>
                </c:pt>
                <c:pt idx="604">
                  <c:v>44502</c:v>
                </c:pt>
                <c:pt idx="605">
                  <c:v>44503</c:v>
                </c:pt>
                <c:pt idx="606">
                  <c:v>44504</c:v>
                </c:pt>
                <c:pt idx="607">
                  <c:v>44505</c:v>
                </c:pt>
                <c:pt idx="608">
                  <c:v>44506</c:v>
                </c:pt>
                <c:pt idx="609">
                  <c:v>44507</c:v>
                </c:pt>
                <c:pt idx="610">
                  <c:v>44508</c:v>
                </c:pt>
                <c:pt idx="611">
                  <c:v>44509</c:v>
                </c:pt>
                <c:pt idx="612">
                  <c:v>44510</c:v>
                </c:pt>
                <c:pt idx="613">
                  <c:v>44511</c:v>
                </c:pt>
                <c:pt idx="614">
                  <c:v>44512</c:v>
                </c:pt>
                <c:pt idx="615">
                  <c:v>44513</c:v>
                </c:pt>
                <c:pt idx="616">
                  <c:v>44514</c:v>
                </c:pt>
                <c:pt idx="617">
                  <c:v>44515</c:v>
                </c:pt>
                <c:pt idx="618">
                  <c:v>44516</c:v>
                </c:pt>
                <c:pt idx="619">
                  <c:v>44517</c:v>
                </c:pt>
                <c:pt idx="620">
                  <c:v>44518</c:v>
                </c:pt>
                <c:pt idx="621">
                  <c:v>44519</c:v>
                </c:pt>
                <c:pt idx="622">
                  <c:v>44520</c:v>
                </c:pt>
                <c:pt idx="623">
                  <c:v>44521</c:v>
                </c:pt>
                <c:pt idx="624">
                  <c:v>44522</c:v>
                </c:pt>
                <c:pt idx="625">
                  <c:v>44523</c:v>
                </c:pt>
                <c:pt idx="626">
                  <c:v>44524</c:v>
                </c:pt>
                <c:pt idx="627">
                  <c:v>44525</c:v>
                </c:pt>
                <c:pt idx="628">
                  <c:v>44526</c:v>
                </c:pt>
                <c:pt idx="629">
                  <c:v>44527</c:v>
                </c:pt>
                <c:pt idx="630">
                  <c:v>44528</c:v>
                </c:pt>
                <c:pt idx="631">
                  <c:v>44529</c:v>
                </c:pt>
                <c:pt idx="632">
                  <c:v>44530</c:v>
                </c:pt>
                <c:pt idx="633">
                  <c:v>44531</c:v>
                </c:pt>
                <c:pt idx="634">
                  <c:v>44532</c:v>
                </c:pt>
                <c:pt idx="635">
                  <c:v>44533</c:v>
                </c:pt>
                <c:pt idx="636">
                  <c:v>44534</c:v>
                </c:pt>
                <c:pt idx="637">
                  <c:v>44535</c:v>
                </c:pt>
                <c:pt idx="638">
                  <c:v>44536</c:v>
                </c:pt>
                <c:pt idx="639">
                  <c:v>44537</c:v>
                </c:pt>
                <c:pt idx="640">
                  <c:v>44538</c:v>
                </c:pt>
                <c:pt idx="641">
                  <c:v>44539</c:v>
                </c:pt>
                <c:pt idx="642">
                  <c:v>44540</c:v>
                </c:pt>
                <c:pt idx="643">
                  <c:v>44541</c:v>
                </c:pt>
                <c:pt idx="644">
                  <c:v>44542</c:v>
                </c:pt>
                <c:pt idx="645">
                  <c:v>44543</c:v>
                </c:pt>
                <c:pt idx="646">
                  <c:v>44544</c:v>
                </c:pt>
                <c:pt idx="647">
                  <c:v>44545</c:v>
                </c:pt>
                <c:pt idx="648">
                  <c:v>44546</c:v>
                </c:pt>
                <c:pt idx="649">
                  <c:v>44547</c:v>
                </c:pt>
                <c:pt idx="650">
                  <c:v>44548</c:v>
                </c:pt>
                <c:pt idx="651">
                  <c:v>44549</c:v>
                </c:pt>
                <c:pt idx="652">
                  <c:v>44550</c:v>
                </c:pt>
                <c:pt idx="653">
                  <c:v>44551</c:v>
                </c:pt>
                <c:pt idx="654">
                  <c:v>44552</c:v>
                </c:pt>
                <c:pt idx="655">
                  <c:v>44553</c:v>
                </c:pt>
                <c:pt idx="656">
                  <c:v>44554</c:v>
                </c:pt>
                <c:pt idx="657">
                  <c:v>44555</c:v>
                </c:pt>
                <c:pt idx="658">
                  <c:v>44556</c:v>
                </c:pt>
                <c:pt idx="659">
                  <c:v>44557</c:v>
                </c:pt>
                <c:pt idx="660">
                  <c:v>44558</c:v>
                </c:pt>
                <c:pt idx="661">
                  <c:v>44559</c:v>
                </c:pt>
                <c:pt idx="662">
                  <c:v>44560</c:v>
                </c:pt>
                <c:pt idx="663">
                  <c:v>44561</c:v>
                </c:pt>
                <c:pt idx="664">
                  <c:v>44562</c:v>
                </c:pt>
                <c:pt idx="665">
                  <c:v>44563</c:v>
                </c:pt>
                <c:pt idx="666">
                  <c:v>44564</c:v>
                </c:pt>
                <c:pt idx="667">
                  <c:v>44565</c:v>
                </c:pt>
                <c:pt idx="668">
                  <c:v>44566</c:v>
                </c:pt>
                <c:pt idx="669">
                  <c:v>44567</c:v>
                </c:pt>
                <c:pt idx="670">
                  <c:v>44568</c:v>
                </c:pt>
                <c:pt idx="671">
                  <c:v>44569</c:v>
                </c:pt>
                <c:pt idx="672">
                  <c:v>44570</c:v>
                </c:pt>
                <c:pt idx="673">
                  <c:v>44571</c:v>
                </c:pt>
                <c:pt idx="674">
                  <c:v>44572</c:v>
                </c:pt>
                <c:pt idx="675">
                  <c:v>44573</c:v>
                </c:pt>
                <c:pt idx="676">
                  <c:v>44574</c:v>
                </c:pt>
                <c:pt idx="677">
                  <c:v>44575</c:v>
                </c:pt>
                <c:pt idx="678">
                  <c:v>44576</c:v>
                </c:pt>
                <c:pt idx="679">
                  <c:v>44577</c:v>
                </c:pt>
                <c:pt idx="680">
                  <c:v>44578</c:v>
                </c:pt>
                <c:pt idx="681">
                  <c:v>44579</c:v>
                </c:pt>
                <c:pt idx="682">
                  <c:v>44580</c:v>
                </c:pt>
                <c:pt idx="683">
                  <c:v>44581</c:v>
                </c:pt>
                <c:pt idx="684">
                  <c:v>44582</c:v>
                </c:pt>
                <c:pt idx="685">
                  <c:v>44583</c:v>
                </c:pt>
                <c:pt idx="686">
                  <c:v>44584</c:v>
                </c:pt>
                <c:pt idx="687">
                  <c:v>44585</c:v>
                </c:pt>
                <c:pt idx="688">
                  <c:v>44586</c:v>
                </c:pt>
                <c:pt idx="689">
                  <c:v>44587</c:v>
                </c:pt>
                <c:pt idx="690">
                  <c:v>44588</c:v>
                </c:pt>
                <c:pt idx="691">
                  <c:v>44589</c:v>
                </c:pt>
                <c:pt idx="692">
                  <c:v>44590</c:v>
                </c:pt>
                <c:pt idx="693">
                  <c:v>44591</c:v>
                </c:pt>
                <c:pt idx="694">
                  <c:v>44592</c:v>
                </c:pt>
                <c:pt idx="695">
                  <c:v>44593</c:v>
                </c:pt>
                <c:pt idx="696">
                  <c:v>44594</c:v>
                </c:pt>
                <c:pt idx="697">
                  <c:v>44595</c:v>
                </c:pt>
                <c:pt idx="698">
                  <c:v>44596</c:v>
                </c:pt>
                <c:pt idx="699">
                  <c:v>44597</c:v>
                </c:pt>
                <c:pt idx="700">
                  <c:v>44598</c:v>
                </c:pt>
                <c:pt idx="701">
                  <c:v>44599</c:v>
                </c:pt>
                <c:pt idx="702">
                  <c:v>44600</c:v>
                </c:pt>
                <c:pt idx="703">
                  <c:v>44601</c:v>
                </c:pt>
                <c:pt idx="704">
                  <c:v>44602</c:v>
                </c:pt>
                <c:pt idx="705">
                  <c:v>44603</c:v>
                </c:pt>
                <c:pt idx="706">
                  <c:v>44604</c:v>
                </c:pt>
                <c:pt idx="707">
                  <c:v>44605</c:v>
                </c:pt>
                <c:pt idx="708">
                  <c:v>44606</c:v>
                </c:pt>
                <c:pt idx="709">
                  <c:v>44607</c:v>
                </c:pt>
                <c:pt idx="710">
                  <c:v>44608</c:v>
                </c:pt>
                <c:pt idx="711">
                  <c:v>44609</c:v>
                </c:pt>
                <c:pt idx="712">
                  <c:v>44610</c:v>
                </c:pt>
                <c:pt idx="713">
                  <c:v>44611</c:v>
                </c:pt>
                <c:pt idx="714">
                  <c:v>44612</c:v>
                </c:pt>
                <c:pt idx="715">
                  <c:v>44613</c:v>
                </c:pt>
                <c:pt idx="716">
                  <c:v>44614</c:v>
                </c:pt>
                <c:pt idx="717">
                  <c:v>44615</c:v>
                </c:pt>
                <c:pt idx="718">
                  <c:v>44616</c:v>
                </c:pt>
                <c:pt idx="719">
                  <c:v>44617</c:v>
                </c:pt>
                <c:pt idx="720">
                  <c:v>44618</c:v>
                </c:pt>
                <c:pt idx="721">
                  <c:v>44619</c:v>
                </c:pt>
                <c:pt idx="722">
                  <c:v>44620</c:v>
                </c:pt>
                <c:pt idx="723">
                  <c:v>44621</c:v>
                </c:pt>
                <c:pt idx="724">
                  <c:v>44622</c:v>
                </c:pt>
                <c:pt idx="725">
                  <c:v>44623</c:v>
                </c:pt>
                <c:pt idx="726">
                  <c:v>44624</c:v>
                </c:pt>
                <c:pt idx="727">
                  <c:v>44625</c:v>
                </c:pt>
                <c:pt idx="728">
                  <c:v>44626</c:v>
                </c:pt>
                <c:pt idx="729">
                  <c:v>44627</c:v>
                </c:pt>
                <c:pt idx="730">
                  <c:v>44628</c:v>
                </c:pt>
                <c:pt idx="731">
                  <c:v>44629</c:v>
                </c:pt>
                <c:pt idx="732">
                  <c:v>44630</c:v>
                </c:pt>
                <c:pt idx="733">
                  <c:v>44631</c:v>
                </c:pt>
                <c:pt idx="734">
                  <c:v>44632</c:v>
                </c:pt>
                <c:pt idx="735">
                  <c:v>44633</c:v>
                </c:pt>
                <c:pt idx="736">
                  <c:v>44634</c:v>
                </c:pt>
                <c:pt idx="737">
                  <c:v>44635</c:v>
                </c:pt>
                <c:pt idx="738">
                  <c:v>44636</c:v>
                </c:pt>
                <c:pt idx="739">
                  <c:v>44637</c:v>
                </c:pt>
                <c:pt idx="740">
                  <c:v>44638</c:v>
                </c:pt>
                <c:pt idx="741">
                  <c:v>44639</c:v>
                </c:pt>
                <c:pt idx="742">
                  <c:v>44640</c:v>
                </c:pt>
                <c:pt idx="743">
                  <c:v>44641</c:v>
                </c:pt>
                <c:pt idx="744">
                  <c:v>44642</c:v>
                </c:pt>
                <c:pt idx="745">
                  <c:v>44643</c:v>
                </c:pt>
                <c:pt idx="746">
                  <c:v>44644</c:v>
                </c:pt>
                <c:pt idx="747">
                  <c:v>44645</c:v>
                </c:pt>
                <c:pt idx="748">
                  <c:v>44646</c:v>
                </c:pt>
              </c:numCache>
            </c:numRef>
          </c:cat>
          <c:val>
            <c:numRef>
              <c:f>Sheet1!$C$2:$C$750</c:f>
              <c:numCache>
                <c:formatCode>General</c:formatCode>
                <c:ptCount val="749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6</c:v>
                </c:pt>
                <c:pt idx="6">
                  <c:v>8</c:v>
                </c:pt>
                <c:pt idx="7">
                  <c:v>9</c:v>
                </c:pt>
                <c:pt idx="8">
                  <c:v>15</c:v>
                </c:pt>
                <c:pt idx="9">
                  <c:v>22</c:v>
                </c:pt>
                <c:pt idx="10">
                  <c:v>15</c:v>
                </c:pt>
                <c:pt idx="11">
                  <c:v>16</c:v>
                </c:pt>
                <c:pt idx="12">
                  <c:v>50</c:v>
                </c:pt>
                <c:pt idx="13">
                  <c:v>56</c:v>
                </c:pt>
                <c:pt idx="14">
                  <c:v>26</c:v>
                </c:pt>
                <c:pt idx="15">
                  <c:v>27</c:v>
                </c:pt>
                <c:pt idx="16">
                  <c:v>32</c:v>
                </c:pt>
                <c:pt idx="17">
                  <c:v>26</c:v>
                </c:pt>
                <c:pt idx="18">
                  <c:v>47</c:v>
                </c:pt>
                <c:pt idx="19">
                  <c:v>84</c:v>
                </c:pt>
                <c:pt idx="20">
                  <c:v>38</c:v>
                </c:pt>
                <c:pt idx="21">
                  <c:v>22</c:v>
                </c:pt>
                <c:pt idx="22">
                  <c:v>83</c:v>
                </c:pt>
                <c:pt idx="23">
                  <c:v>107</c:v>
                </c:pt>
                <c:pt idx="24">
                  <c:v>96</c:v>
                </c:pt>
                <c:pt idx="25">
                  <c:v>192</c:v>
                </c:pt>
                <c:pt idx="26">
                  <c:v>61</c:v>
                </c:pt>
                <c:pt idx="27">
                  <c:v>170</c:v>
                </c:pt>
                <c:pt idx="28">
                  <c:v>186</c:v>
                </c:pt>
                <c:pt idx="29">
                  <c:v>501</c:v>
                </c:pt>
                <c:pt idx="30">
                  <c:v>314</c:v>
                </c:pt>
                <c:pt idx="31">
                  <c:v>488</c:v>
                </c:pt>
                <c:pt idx="32">
                  <c:v>633</c:v>
                </c:pt>
                <c:pt idx="33">
                  <c:v>697</c:v>
                </c:pt>
                <c:pt idx="34">
                  <c:v>625</c:v>
                </c:pt>
                <c:pt idx="35">
                  <c:v>792</c:v>
                </c:pt>
                <c:pt idx="36">
                  <c:v>770</c:v>
                </c:pt>
                <c:pt idx="37">
                  <c:v>524</c:v>
                </c:pt>
                <c:pt idx="38">
                  <c:v>719</c:v>
                </c:pt>
                <c:pt idx="39">
                  <c:v>628</c:v>
                </c:pt>
                <c:pt idx="40">
                  <c:v>790</c:v>
                </c:pt>
                <c:pt idx="41">
                  <c:v>849</c:v>
                </c:pt>
                <c:pt idx="42">
                  <c:v>590</c:v>
                </c:pt>
                <c:pt idx="43">
                  <c:v>876</c:v>
                </c:pt>
                <c:pt idx="44">
                  <c:v>851</c:v>
                </c:pt>
                <c:pt idx="45">
                  <c:v>1144</c:v>
                </c:pt>
                <c:pt idx="46">
                  <c:v>1266</c:v>
                </c:pt>
                <c:pt idx="47">
                  <c:v>1453</c:v>
                </c:pt>
                <c:pt idx="48">
                  <c:v>1302</c:v>
                </c:pt>
                <c:pt idx="49">
                  <c:v>1337</c:v>
                </c:pt>
                <c:pt idx="50">
                  <c:v>1431</c:v>
                </c:pt>
                <c:pt idx="51">
                  <c:v>993</c:v>
                </c:pt>
                <c:pt idx="52">
                  <c:v>1998</c:v>
                </c:pt>
                <c:pt idx="53">
                  <c:v>1747</c:v>
                </c:pt>
                <c:pt idx="54">
                  <c:v>2524</c:v>
                </c:pt>
                <c:pt idx="55">
                  <c:v>1798</c:v>
                </c:pt>
                <c:pt idx="56">
                  <c:v>1408</c:v>
                </c:pt>
                <c:pt idx="57">
                  <c:v>1935</c:v>
                </c:pt>
                <c:pt idx="58">
                  <c:v>1223</c:v>
                </c:pt>
                <c:pt idx="59">
                  <c:v>2381</c:v>
                </c:pt>
                <c:pt idx="60">
                  <c:v>2425</c:v>
                </c:pt>
                <c:pt idx="61">
                  <c:v>2266</c:v>
                </c:pt>
                <c:pt idx="62">
                  <c:v>2371</c:v>
                </c:pt>
                <c:pt idx="63">
                  <c:v>2016</c:v>
                </c:pt>
                <c:pt idx="64">
                  <c:v>1410</c:v>
                </c:pt>
                <c:pt idx="65">
                  <c:v>599</c:v>
                </c:pt>
                <c:pt idx="66">
                  <c:v>2350</c:v>
                </c:pt>
                <c:pt idx="67">
                  <c:v>2932</c:v>
                </c:pt>
                <c:pt idx="68">
                  <c:v>2798</c:v>
                </c:pt>
                <c:pt idx="69">
                  <c:v>2143</c:v>
                </c:pt>
                <c:pt idx="70">
                  <c:v>2433</c:v>
                </c:pt>
                <c:pt idx="71">
                  <c:v>2395</c:v>
                </c:pt>
                <c:pt idx="72">
                  <c:v>1292</c:v>
                </c:pt>
                <c:pt idx="73">
                  <c:v>3085</c:v>
                </c:pt>
                <c:pt idx="74">
                  <c:v>2807</c:v>
                </c:pt>
                <c:pt idx="75">
                  <c:v>2953</c:v>
                </c:pt>
                <c:pt idx="76">
                  <c:v>2968</c:v>
                </c:pt>
                <c:pt idx="77">
                  <c:v>3426</c:v>
                </c:pt>
                <c:pt idx="78">
                  <c:v>3052</c:v>
                </c:pt>
                <c:pt idx="79">
                  <c:v>983</c:v>
                </c:pt>
                <c:pt idx="80">
                  <c:v>4147</c:v>
                </c:pt>
                <c:pt idx="81">
                  <c:v>4102</c:v>
                </c:pt>
                <c:pt idx="82">
                  <c:v>4285</c:v>
                </c:pt>
                <c:pt idx="83">
                  <c:v>3589</c:v>
                </c:pt>
                <c:pt idx="84">
                  <c:v>3250</c:v>
                </c:pt>
                <c:pt idx="85">
                  <c:v>2643</c:v>
                </c:pt>
                <c:pt idx="86">
                  <c:v>1412</c:v>
                </c:pt>
                <c:pt idx="87">
                  <c:v>2137</c:v>
                </c:pt>
                <c:pt idx="88">
                  <c:v>1968</c:v>
                </c:pt>
                <c:pt idx="89">
                  <c:v>1084</c:v>
                </c:pt>
                <c:pt idx="90">
                  <c:v>1922</c:v>
                </c:pt>
                <c:pt idx="91">
                  <c:v>2876</c:v>
                </c:pt>
                <c:pt idx="92">
                  <c:v>2590</c:v>
                </c:pt>
                <c:pt idx="93">
                  <c:v>1797</c:v>
                </c:pt>
                <c:pt idx="94">
                  <c:v>2340</c:v>
                </c:pt>
                <c:pt idx="95">
                  <c:v>2887</c:v>
                </c:pt>
                <c:pt idx="96">
                  <c:v>2884</c:v>
                </c:pt>
                <c:pt idx="97">
                  <c:v>3269</c:v>
                </c:pt>
                <c:pt idx="98">
                  <c:v>2423</c:v>
                </c:pt>
                <c:pt idx="99">
                  <c:v>2206</c:v>
                </c:pt>
                <c:pt idx="100">
                  <c:v>1681</c:v>
                </c:pt>
                <c:pt idx="101">
                  <c:v>2333</c:v>
                </c:pt>
                <c:pt idx="102">
                  <c:v>1930</c:v>
                </c:pt>
                <c:pt idx="103">
                  <c:v>1899</c:v>
                </c:pt>
                <c:pt idx="104">
                  <c:v>1705</c:v>
                </c:pt>
                <c:pt idx="105">
                  <c:v>1488</c:v>
                </c:pt>
                <c:pt idx="106">
                  <c:v>1824</c:v>
                </c:pt>
                <c:pt idx="107">
                  <c:v>674</c:v>
                </c:pt>
                <c:pt idx="108">
                  <c:v>2273</c:v>
                </c:pt>
                <c:pt idx="109">
                  <c:v>1865</c:v>
                </c:pt>
                <c:pt idx="110">
                  <c:v>2057</c:v>
                </c:pt>
                <c:pt idx="111">
                  <c:v>2189</c:v>
                </c:pt>
                <c:pt idx="112">
                  <c:v>1957</c:v>
                </c:pt>
                <c:pt idx="113">
                  <c:v>1483</c:v>
                </c:pt>
                <c:pt idx="114">
                  <c:v>825</c:v>
                </c:pt>
                <c:pt idx="115">
                  <c:v>1216</c:v>
                </c:pt>
                <c:pt idx="116">
                  <c:v>1544</c:v>
                </c:pt>
                <c:pt idx="117">
                  <c:v>1587</c:v>
                </c:pt>
                <c:pt idx="118">
                  <c:v>1394</c:v>
                </c:pt>
                <c:pt idx="119">
                  <c:v>1671</c:v>
                </c:pt>
                <c:pt idx="120">
                  <c:v>1474</c:v>
                </c:pt>
                <c:pt idx="121">
                  <c:v>1254</c:v>
                </c:pt>
                <c:pt idx="122">
                  <c:v>1661</c:v>
                </c:pt>
                <c:pt idx="123">
                  <c:v>1881</c:v>
                </c:pt>
                <c:pt idx="124">
                  <c:v>1114</c:v>
                </c:pt>
                <c:pt idx="125">
                  <c:v>1247</c:v>
                </c:pt>
                <c:pt idx="126">
                  <c:v>1985</c:v>
                </c:pt>
                <c:pt idx="127">
                  <c:v>1571</c:v>
                </c:pt>
                <c:pt idx="128">
                  <c:v>1184</c:v>
                </c:pt>
                <c:pt idx="129">
                  <c:v>1918</c:v>
                </c:pt>
                <c:pt idx="130">
                  <c:v>2084</c:v>
                </c:pt>
                <c:pt idx="131">
                  <c:v>2278</c:v>
                </c:pt>
                <c:pt idx="132">
                  <c:v>2398</c:v>
                </c:pt>
                <c:pt idx="133">
                  <c:v>2316</c:v>
                </c:pt>
                <c:pt idx="134">
                  <c:v>2080</c:v>
                </c:pt>
                <c:pt idx="135">
                  <c:v>1247</c:v>
                </c:pt>
                <c:pt idx="136">
                  <c:v>2028</c:v>
                </c:pt>
                <c:pt idx="137">
                  <c:v>2311</c:v>
                </c:pt>
                <c:pt idx="138">
                  <c:v>2641</c:v>
                </c:pt>
                <c:pt idx="139">
                  <c:v>2301</c:v>
                </c:pt>
                <c:pt idx="140">
                  <c:v>2551</c:v>
                </c:pt>
                <c:pt idx="141">
                  <c:v>2112</c:v>
                </c:pt>
                <c:pt idx="142">
                  <c:v>1697</c:v>
                </c:pt>
                <c:pt idx="143">
                  <c:v>2848</c:v>
                </c:pt>
                <c:pt idx="144">
                  <c:v>1280</c:v>
                </c:pt>
                <c:pt idx="145">
                  <c:v>2779</c:v>
                </c:pt>
                <c:pt idx="146">
                  <c:v>3089</c:v>
                </c:pt>
                <c:pt idx="147">
                  <c:v>2950</c:v>
                </c:pt>
                <c:pt idx="148">
                  <c:v>2984</c:v>
                </c:pt>
                <c:pt idx="149">
                  <c:v>1799</c:v>
                </c:pt>
                <c:pt idx="150">
                  <c:v>3362</c:v>
                </c:pt>
                <c:pt idx="151">
                  <c:v>3304</c:v>
                </c:pt>
                <c:pt idx="152">
                  <c:v>3045</c:v>
                </c:pt>
                <c:pt idx="153">
                  <c:v>3167</c:v>
                </c:pt>
                <c:pt idx="154">
                  <c:v>2746</c:v>
                </c:pt>
                <c:pt idx="155">
                  <c:v>2865</c:v>
                </c:pt>
                <c:pt idx="156">
                  <c:v>1889</c:v>
                </c:pt>
                <c:pt idx="157">
                  <c:v>2987</c:v>
                </c:pt>
                <c:pt idx="158">
                  <c:v>3583</c:v>
                </c:pt>
                <c:pt idx="159">
                  <c:v>4020</c:v>
                </c:pt>
                <c:pt idx="160">
                  <c:v>3539</c:v>
                </c:pt>
                <c:pt idx="161">
                  <c:v>3954</c:v>
                </c:pt>
                <c:pt idx="162">
                  <c:v>3744</c:v>
                </c:pt>
                <c:pt idx="163">
                  <c:v>2162</c:v>
                </c:pt>
                <c:pt idx="164">
                  <c:v>3900</c:v>
                </c:pt>
                <c:pt idx="165">
                  <c:v>3725</c:v>
                </c:pt>
                <c:pt idx="166">
                  <c:v>3675</c:v>
                </c:pt>
                <c:pt idx="167">
                  <c:v>3092</c:v>
                </c:pt>
                <c:pt idx="168">
                  <c:v>3251</c:v>
                </c:pt>
                <c:pt idx="169">
                  <c:v>2774</c:v>
                </c:pt>
                <c:pt idx="170">
                  <c:v>1203</c:v>
                </c:pt>
                <c:pt idx="171">
                  <c:v>2895</c:v>
                </c:pt>
                <c:pt idx="172">
                  <c:v>3206</c:v>
                </c:pt>
                <c:pt idx="173">
                  <c:v>3326</c:v>
                </c:pt>
                <c:pt idx="174">
                  <c:v>3194</c:v>
                </c:pt>
                <c:pt idx="175">
                  <c:v>3937</c:v>
                </c:pt>
                <c:pt idx="176">
                  <c:v>2636</c:v>
                </c:pt>
                <c:pt idx="177">
                  <c:v>1266</c:v>
                </c:pt>
                <c:pt idx="178">
                  <c:v>2551</c:v>
                </c:pt>
                <c:pt idx="179">
                  <c:v>2463</c:v>
                </c:pt>
                <c:pt idx="180">
                  <c:v>2465</c:v>
                </c:pt>
                <c:pt idx="181">
                  <c:v>1895</c:v>
                </c:pt>
                <c:pt idx="182">
                  <c:v>3282</c:v>
                </c:pt>
                <c:pt idx="183">
                  <c:v>1819</c:v>
                </c:pt>
                <c:pt idx="184">
                  <c:v>939</c:v>
                </c:pt>
                <c:pt idx="185">
                  <c:v>2386</c:v>
                </c:pt>
                <c:pt idx="186">
                  <c:v>2196</c:v>
                </c:pt>
                <c:pt idx="187">
                  <c:v>2636</c:v>
                </c:pt>
                <c:pt idx="188">
                  <c:v>1503</c:v>
                </c:pt>
                <c:pt idx="189">
                  <c:v>4011</c:v>
                </c:pt>
                <c:pt idx="190">
                  <c:v>2176</c:v>
                </c:pt>
                <c:pt idx="191">
                  <c:v>1046</c:v>
                </c:pt>
                <c:pt idx="192">
                  <c:v>1949</c:v>
                </c:pt>
                <c:pt idx="193">
                  <c:v>1936</c:v>
                </c:pt>
                <c:pt idx="194">
                  <c:v>2059</c:v>
                </c:pt>
                <c:pt idx="195">
                  <c:v>2698</c:v>
                </c:pt>
                <c:pt idx="196">
                  <c:v>2466</c:v>
                </c:pt>
                <c:pt idx="197">
                  <c:v>2187</c:v>
                </c:pt>
                <c:pt idx="198">
                  <c:v>844</c:v>
                </c:pt>
                <c:pt idx="199">
                  <c:v>1945</c:v>
                </c:pt>
                <c:pt idx="200">
                  <c:v>2032</c:v>
                </c:pt>
                <c:pt idx="201">
                  <c:v>2076</c:v>
                </c:pt>
                <c:pt idx="202">
                  <c:v>2040</c:v>
                </c:pt>
                <c:pt idx="203">
                  <c:v>1968</c:v>
                </c:pt>
                <c:pt idx="204">
                  <c:v>1607</c:v>
                </c:pt>
                <c:pt idx="205">
                  <c:v>1203</c:v>
                </c:pt>
                <c:pt idx="206">
                  <c:v>1141</c:v>
                </c:pt>
                <c:pt idx="207">
                  <c:v>1386</c:v>
                </c:pt>
                <c:pt idx="208">
                  <c:v>1587</c:v>
                </c:pt>
                <c:pt idx="209">
                  <c:v>1312</c:v>
                </c:pt>
                <c:pt idx="210">
                  <c:v>1837</c:v>
                </c:pt>
                <c:pt idx="211">
                  <c:v>1292</c:v>
                </c:pt>
                <c:pt idx="212">
                  <c:v>676</c:v>
                </c:pt>
                <c:pt idx="213">
                  <c:v>1331</c:v>
                </c:pt>
                <c:pt idx="214">
                  <c:v>1419</c:v>
                </c:pt>
                <c:pt idx="215">
                  <c:v>1318</c:v>
                </c:pt>
                <c:pt idx="216">
                  <c:v>1414</c:v>
                </c:pt>
                <c:pt idx="217">
                  <c:v>1690</c:v>
                </c:pt>
                <c:pt idx="218">
                  <c:v>1056</c:v>
                </c:pt>
                <c:pt idx="219">
                  <c:v>616</c:v>
                </c:pt>
                <c:pt idx="220">
                  <c:v>1157</c:v>
                </c:pt>
                <c:pt idx="221">
                  <c:v>1492</c:v>
                </c:pt>
                <c:pt idx="222">
                  <c:v>1218</c:v>
                </c:pt>
                <c:pt idx="223">
                  <c:v>1196</c:v>
                </c:pt>
                <c:pt idx="224">
                  <c:v>1525</c:v>
                </c:pt>
                <c:pt idx="225">
                  <c:v>1010</c:v>
                </c:pt>
                <c:pt idx="226">
                  <c:v>641</c:v>
                </c:pt>
                <c:pt idx="227">
                  <c:v>1195</c:v>
                </c:pt>
                <c:pt idx="228">
                  <c:v>1392</c:v>
                </c:pt>
                <c:pt idx="229">
                  <c:v>1489</c:v>
                </c:pt>
                <c:pt idx="230">
                  <c:v>1055</c:v>
                </c:pt>
                <c:pt idx="231">
                  <c:v>1153</c:v>
                </c:pt>
                <c:pt idx="232">
                  <c:v>827</c:v>
                </c:pt>
                <c:pt idx="233">
                  <c:v>548</c:v>
                </c:pt>
                <c:pt idx="234">
                  <c:v>1030</c:v>
                </c:pt>
                <c:pt idx="235">
                  <c:v>1084</c:v>
                </c:pt>
                <c:pt idx="236">
                  <c:v>846</c:v>
                </c:pt>
                <c:pt idx="237">
                  <c:v>869</c:v>
                </c:pt>
                <c:pt idx="238">
                  <c:v>894</c:v>
                </c:pt>
                <c:pt idx="239">
                  <c:v>919</c:v>
                </c:pt>
                <c:pt idx="240">
                  <c:v>405</c:v>
                </c:pt>
                <c:pt idx="241">
                  <c:v>795</c:v>
                </c:pt>
                <c:pt idx="242">
                  <c:v>929</c:v>
                </c:pt>
                <c:pt idx="243">
                  <c:v>1008</c:v>
                </c:pt>
                <c:pt idx="244">
                  <c:v>810</c:v>
                </c:pt>
                <c:pt idx="245">
                  <c:v>624</c:v>
                </c:pt>
                <c:pt idx="246">
                  <c:v>402</c:v>
                </c:pt>
                <c:pt idx="247">
                  <c:v>887</c:v>
                </c:pt>
                <c:pt idx="248">
                  <c:v>788</c:v>
                </c:pt>
                <c:pt idx="249">
                  <c:v>719</c:v>
                </c:pt>
                <c:pt idx="250">
                  <c:v>700</c:v>
                </c:pt>
                <c:pt idx="251">
                  <c:v>880</c:v>
                </c:pt>
                <c:pt idx="252">
                  <c:v>577</c:v>
                </c:pt>
                <c:pt idx="253">
                  <c:v>417</c:v>
                </c:pt>
                <c:pt idx="254">
                  <c:v>610</c:v>
                </c:pt>
                <c:pt idx="255">
                  <c:v>639</c:v>
                </c:pt>
                <c:pt idx="256">
                  <c:v>631</c:v>
                </c:pt>
                <c:pt idx="257">
                  <c:v>607</c:v>
                </c:pt>
                <c:pt idx="258">
                  <c:v>726</c:v>
                </c:pt>
                <c:pt idx="259">
                  <c:v>489</c:v>
                </c:pt>
                <c:pt idx="260">
                  <c:v>387</c:v>
                </c:pt>
                <c:pt idx="261">
                  <c:v>509</c:v>
                </c:pt>
                <c:pt idx="262">
                  <c:v>593</c:v>
                </c:pt>
                <c:pt idx="263">
                  <c:v>589</c:v>
                </c:pt>
                <c:pt idx="264">
                  <c:v>517</c:v>
                </c:pt>
                <c:pt idx="265">
                  <c:v>710</c:v>
                </c:pt>
                <c:pt idx="266">
                  <c:v>403</c:v>
                </c:pt>
                <c:pt idx="267">
                  <c:v>462</c:v>
                </c:pt>
                <c:pt idx="268">
                  <c:v>689</c:v>
                </c:pt>
                <c:pt idx="269">
                  <c:v>599</c:v>
                </c:pt>
                <c:pt idx="270">
                  <c:v>551</c:v>
                </c:pt>
                <c:pt idx="271">
                  <c:v>668</c:v>
                </c:pt>
                <c:pt idx="272">
                  <c:v>541</c:v>
                </c:pt>
                <c:pt idx="273">
                  <c:v>423</c:v>
                </c:pt>
                <c:pt idx="274">
                  <c:v>664</c:v>
                </c:pt>
                <c:pt idx="275">
                  <c:v>328</c:v>
                </c:pt>
                <c:pt idx="276">
                  <c:v>633</c:v>
                </c:pt>
                <c:pt idx="277">
                  <c:v>508</c:v>
                </c:pt>
                <c:pt idx="278">
                  <c:v>661</c:v>
                </c:pt>
                <c:pt idx="279">
                  <c:v>677</c:v>
                </c:pt>
                <c:pt idx="280">
                  <c:v>443</c:v>
                </c:pt>
                <c:pt idx="281">
                  <c:v>550</c:v>
                </c:pt>
                <c:pt idx="282">
                  <c:v>573</c:v>
                </c:pt>
                <c:pt idx="283">
                  <c:v>667</c:v>
                </c:pt>
                <c:pt idx="284">
                  <c:v>852</c:v>
                </c:pt>
                <c:pt idx="285">
                  <c:v>643</c:v>
                </c:pt>
                <c:pt idx="286">
                  <c:v>549</c:v>
                </c:pt>
                <c:pt idx="287">
                  <c:v>454</c:v>
                </c:pt>
                <c:pt idx="288">
                  <c:v>730</c:v>
                </c:pt>
                <c:pt idx="289">
                  <c:v>703</c:v>
                </c:pt>
                <c:pt idx="290">
                  <c:v>682</c:v>
                </c:pt>
                <c:pt idx="291">
                  <c:v>562</c:v>
                </c:pt>
                <c:pt idx="292">
                  <c:v>456</c:v>
                </c:pt>
                <c:pt idx="293">
                  <c:v>677</c:v>
                </c:pt>
                <c:pt idx="294">
                  <c:v>596</c:v>
                </c:pt>
                <c:pt idx="295">
                  <c:v>666</c:v>
                </c:pt>
                <c:pt idx="296">
                  <c:v>780</c:v>
                </c:pt>
                <c:pt idx="297">
                  <c:v>1228</c:v>
                </c:pt>
                <c:pt idx="298">
                  <c:v>619</c:v>
                </c:pt>
                <c:pt idx="299">
                  <c:v>473</c:v>
                </c:pt>
                <c:pt idx="300">
                  <c:v>911</c:v>
                </c:pt>
                <c:pt idx="301">
                  <c:v>1097</c:v>
                </c:pt>
                <c:pt idx="302">
                  <c:v>719</c:v>
                </c:pt>
                <c:pt idx="303">
                  <c:v>1096</c:v>
                </c:pt>
                <c:pt idx="304">
                  <c:v>1419</c:v>
                </c:pt>
                <c:pt idx="305">
                  <c:v>1688</c:v>
                </c:pt>
                <c:pt idx="306">
                  <c:v>2151</c:v>
                </c:pt>
                <c:pt idx="307">
                  <c:v>1497</c:v>
                </c:pt>
                <c:pt idx="308">
                  <c:v>1265</c:v>
                </c:pt>
                <c:pt idx="309">
                  <c:v>1542</c:v>
                </c:pt>
                <c:pt idx="310">
                  <c:v>2272</c:v>
                </c:pt>
                <c:pt idx="311">
                  <c:v>2073</c:v>
                </c:pt>
                <c:pt idx="312">
                  <c:v>1956</c:v>
                </c:pt>
                <c:pt idx="313">
                  <c:v>2324</c:v>
                </c:pt>
                <c:pt idx="314">
                  <c:v>2049</c:v>
                </c:pt>
                <c:pt idx="315">
                  <c:v>2459</c:v>
                </c:pt>
                <c:pt idx="316">
                  <c:v>2650</c:v>
                </c:pt>
                <c:pt idx="317">
                  <c:v>2883</c:v>
                </c:pt>
                <c:pt idx="318">
                  <c:v>2295</c:v>
                </c:pt>
                <c:pt idx="319">
                  <c:v>2927</c:v>
                </c:pt>
                <c:pt idx="320">
                  <c:v>3195</c:v>
                </c:pt>
                <c:pt idx="321">
                  <c:v>3742</c:v>
                </c:pt>
                <c:pt idx="322">
                  <c:v>1357</c:v>
                </c:pt>
                <c:pt idx="323">
                  <c:v>3379</c:v>
                </c:pt>
                <c:pt idx="324">
                  <c:v>3109</c:v>
                </c:pt>
                <c:pt idx="325">
                  <c:v>2593</c:v>
                </c:pt>
                <c:pt idx="326">
                  <c:v>3501</c:v>
                </c:pt>
                <c:pt idx="327">
                  <c:v>3512</c:v>
                </c:pt>
                <c:pt idx="328">
                  <c:v>2898</c:v>
                </c:pt>
                <c:pt idx="329">
                  <c:v>2351</c:v>
                </c:pt>
                <c:pt idx="330">
                  <c:v>4274</c:v>
                </c:pt>
                <c:pt idx="331">
                  <c:v>4583</c:v>
                </c:pt>
                <c:pt idx="332">
                  <c:v>3922</c:v>
                </c:pt>
                <c:pt idx="333">
                  <c:v>4735</c:v>
                </c:pt>
                <c:pt idx="334">
                  <c:v>5120</c:v>
                </c:pt>
                <c:pt idx="335">
                  <c:v>4092</c:v>
                </c:pt>
                <c:pt idx="336">
                  <c:v>2744</c:v>
                </c:pt>
                <c:pt idx="337">
                  <c:v>3991</c:v>
                </c:pt>
                <c:pt idx="338">
                  <c:v>4152</c:v>
                </c:pt>
                <c:pt idx="339">
                  <c:v>4152</c:v>
                </c:pt>
                <c:pt idx="340">
                  <c:v>4131</c:v>
                </c:pt>
                <c:pt idx="341">
                  <c:v>3686</c:v>
                </c:pt>
                <c:pt idx="342">
                  <c:v>4036</c:v>
                </c:pt>
                <c:pt idx="343">
                  <c:v>1783</c:v>
                </c:pt>
                <c:pt idx="344">
                  <c:v>4103</c:v>
                </c:pt>
                <c:pt idx="345">
                  <c:v>4540</c:v>
                </c:pt>
                <c:pt idx="346">
                  <c:v>5093</c:v>
                </c:pt>
                <c:pt idx="347">
                  <c:v>4003</c:v>
                </c:pt>
                <c:pt idx="348">
                  <c:v>3605</c:v>
                </c:pt>
                <c:pt idx="349">
                  <c:v>3546</c:v>
                </c:pt>
                <c:pt idx="350">
                  <c:v>1836</c:v>
                </c:pt>
                <c:pt idx="351">
                  <c:v>4141</c:v>
                </c:pt>
                <c:pt idx="352">
                  <c:v>3801</c:v>
                </c:pt>
                <c:pt idx="353">
                  <c:v>3775</c:v>
                </c:pt>
                <c:pt idx="354">
                  <c:v>4156</c:v>
                </c:pt>
                <c:pt idx="355">
                  <c:v>4303</c:v>
                </c:pt>
                <c:pt idx="356">
                  <c:v>3176</c:v>
                </c:pt>
                <c:pt idx="357">
                  <c:v>1620</c:v>
                </c:pt>
                <c:pt idx="358">
                  <c:v>3847</c:v>
                </c:pt>
                <c:pt idx="359">
                  <c:v>3811</c:v>
                </c:pt>
                <c:pt idx="360">
                  <c:v>3601</c:v>
                </c:pt>
                <c:pt idx="361">
                  <c:v>3497</c:v>
                </c:pt>
                <c:pt idx="362">
                  <c:v>3851</c:v>
                </c:pt>
                <c:pt idx="363">
                  <c:v>3632</c:v>
                </c:pt>
                <c:pt idx="364">
                  <c:v>1547</c:v>
                </c:pt>
                <c:pt idx="365">
                  <c:v>4011</c:v>
                </c:pt>
                <c:pt idx="366">
                  <c:v>3674</c:v>
                </c:pt>
                <c:pt idx="367">
                  <c:v>3669</c:v>
                </c:pt>
                <c:pt idx="368">
                  <c:v>4087</c:v>
                </c:pt>
                <c:pt idx="369">
                  <c:v>3455</c:v>
                </c:pt>
                <c:pt idx="370">
                  <c:v>2599</c:v>
                </c:pt>
                <c:pt idx="371">
                  <c:v>2283</c:v>
                </c:pt>
                <c:pt idx="372">
                  <c:v>5076</c:v>
                </c:pt>
                <c:pt idx="373">
                  <c:v>3862</c:v>
                </c:pt>
                <c:pt idx="374">
                  <c:v>3954</c:v>
                </c:pt>
                <c:pt idx="375">
                  <c:v>3706</c:v>
                </c:pt>
                <c:pt idx="376">
                  <c:v>4277</c:v>
                </c:pt>
                <c:pt idx="377">
                  <c:v>3753</c:v>
                </c:pt>
                <c:pt idx="378">
                  <c:v>2795</c:v>
                </c:pt>
                <c:pt idx="379">
                  <c:v>5903</c:v>
                </c:pt>
                <c:pt idx="380">
                  <c:v>4736</c:v>
                </c:pt>
                <c:pt idx="381">
                  <c:v>4683</c:v>
                </c:pt>
                <c:pt idx="382">
                  <c:v>4079</c:v>
                </c:pt>
                <c:pt idx="383">
                  <c:v>3825</c:v>
                </c:pt>
                <c:pt idx="384">
                  <c:v>3950</c:v>
                </c:pt>
                <c:pt idx="385">
                  <c:v>1553</c:v>
                </c:pt>
                <c:pt idx="386">
                  <c:v>4388</c:v>
                </c:pt>
                <c:pt idx="387">
                  <c:v>5071</c:v>
                </c:pt>
                <c:pt idx="388">
                  <c:v>4223</c:v>
                </c:pt>
                <c:pt idx="389">
                  <c:v>2857</c:v>
                </c:pt>
                <c:pt idx="390">
                  <c:v>1654</c:v>
                </c:pt>
                <c:pt idx="391">
                  <c:v>3051</c:v>
                </c:pt>
                <c:pt idx="392">
                  <c:v>2858</c:v>
                </c:pt>
                <c:pt idx="393">
                  <c:v>5003</c:v>
                </c:pt>
                <c:pt idx="394">
                  <c:v>4252</c:v>
                </c:pt>
                <c:pt idx="395">
                  <c:v>4606</c:v>
                </c:pt>
                <c:pt idx="396">
                  <c:v>4463</c:v>
                </c:pt>
                <c:pt idx="397">
                  <c:v>3832</c:v>
                </c:pt>
                <c:pt idx="398">
                  <c:v>3516</c:v>
                </c:pt>
                <c:pt idx="399">
                  <c:v>1214</c:v>
                </c:pt>
                <c:pt idx="400">
                  <c:v>4001</c:v>
                </c:pt>
                <c:pt idx="401">
                  <c:v>3678</c:v>
                </c:pt>
                <c:pt idx="402">
                  <c:v>3371</c:v>
                </c:pt>
                <c:pt idx="403">
                  <c:v>4002</c:v>
                </c:pt>
                <c:pt idx="404">
                  <c:v>4761</c:v>
                </c:pt>
                <c:pt idx="405">
                  <c:v>3081</c:v>
                </c:pt>
                <c:pt idx="406">
                  <c:v>1139</c:v>
                </c:pt>
                <c:pt idx="407">
                  <c:v>3270</c:v>
                </c:pt>
                <c:pt idx="408">
                  <c:v>2928</c:v>
                </c:pt>
                <c:pt idx="409">
                  <c:v>3118</c:v>
                </c:pt>
                <c:pt idx="410">
                  <c:v>3458</c:v>
                </c:pt>
                <c:pt idx="411">
                  <c:v>3287</c:v>
                </c:pt>
                <c:pt idx="412">
                  <c:v>2874</c:v>
                </c:pt>
                <c:pt idx="413">
                  <c:v>1880</c:v>
                </c:pt>
                <c:pt idx="414">
                  <c:v>2979</c:v>
                </c:pt>
                <c:pt idx="415">
                  <c:v>2917</c:v>
                </c:pt>
                <c:pt idx="416">
                  <c:v>2866</c:v>
                </c:pt>
                <c:pt idx="417">
                  <c:v>2826</c:v>
                </c:pt>
                <c:pt idx="418">
                  <c:v>2592</c:v>
                </c:pt>
                <c:pt idx="419">
                  <c:v>1911</c:v>
                </c:pt>
                <c:pt idx="420">
                  <c:v>1401</c:v>
                </c:pt>
                <c:pt idx="421">
                  <c:v>2053</c:v>
                </c:pt>
                <c:pt idx="422">
                  <c:v>2283</c:v>
                </c:pt>
                <c:pt idx="423">
                  <c:v>2436</c:v>
                </c:pt>
                <c:pt idx="424">
                  <c:v>2035</c:v>
                </c:pt>
                <c:pt idx="425">
                  <c:v>2279</c:v>
                </c:pt>
                <c:pt idx="426">
                  <c:v>1584</c:v>
                </c:pt>
                <c:pt idx="427">
                  <c:v>660</c:v>
                </c:pt>
                <c:pt idx="428">
                  <c:v>2403</c:v>
                </c:pt>
                <c:pt idx="429">
                  <c:v>2070</c:v>
                </c:pt>
                <c:pt idx="430">
                  <c:v>2001</c:v>
                </c:pt>
                <c:pt idx="431">
                  <c:v>2009</c:v>
                </c:pt>
                <c:pt idx="432">
                  <c:v>1703</c:v>
                </c:pt>
                <c:pt idx="433">
                  <c:v>1402</c:v>
                </c:pt>
                <c:pt idx="434">
                  <c:v>734</c:v>
                </c:pt>
                <c:pt idx="435">
                  <c:v>1592</c:v>
                </c:pt>
                <c:pt idx="436">
                  <c:v>1648</c:v>
                </c:pt>
                <c:pt idx="437">
                  <c:v>1431</c:v>
                </c:pt>
                <c:pt idx="438">
                  <c:v>1554</c:v>
                </c:pt>
                <c:pt idx="439">
                  <c:v>1360</c:v>
                </c:pt>
                <c:pt idx="440">
                  <c:v>1177</c:v>
                </c:pt>
                <c:pt idx="441">
                  <c:v>425</c:v>
                </c:pt>
                <c:pt idx="442">
                  <c:v>1352</c:v>
                </c:pt>
                <c:pt idx="443">
                  <c:v>1590</c:v>
                </c:pt>
                <c:pt idx="444">
                  <c:v>1322</c:v>
                </c:pt>
                <c:pt idx="445">
                  <c:v>1096</c:v>
                </c:pt>
                <c:pt idx="446">
                  <c:v>1037</c:v>
                </c:pt>
                <c:pt idx="447">
                  <c:v>934</c:v>
                </c:pt>
                <c:pt idx="448">
                  <c:v>359</c:v>
                </c:pt>
                <c:pt idx="449">
                  <c:v>1082</c:v>
                </c:pt>
                <c:pt idx="450">
                  <c:v>1045</c:v>
                </c:pt>
                <c:pt idx="451">
                  <c:v>1088</c:v>
                </c:pt>
                <c:pt idx="452">
                  <c:v>916</c:v>
                </c:pt>
                <c:pt idx="453">
                  <c:v>1036</c:v>
                </c:pt>
                <c:pt idx="454">
                  <c:v>846</c:v>
                </c:pt>
                <c:pt idx="455">
                  <c:v>309</c:v>
                </c:pt>
                <c:pt idx="456">
                  <c:v>956</c:v>
                </c:pt>
                <c:pt idx="457">
                  <c:v>782</c:v>
                </c:pt>
                <c:pt idx="458">
                  <c:v>897</c:v>
                </c:pt>
                <c:pt idx="459">
                  <c:v>692</c:v>
                </c:pt>
                <c:pt idx="460">
                  <c:v>796</c:v>
                </c:pt>
                <c:pt idx="461">
                  <c:v>710</c:v>
                </c:pt>
                <c:pt idx="462">
                  <c:v>294</c:v>
                </c:pt>
                <c:pt idx="463">
                  <c:v>886</c:v>
                </c:pt>
                <c:pt idx="464">
                  <c:v>2944</c:v>
                </c:pt>
                <c:pt idx="465">
                  <c:v>1013</c:v>
                </c:pt>
                <c:pt idx="466">
                  <c:v>838</c:v>
                </c:pt>
                <c:pt idx="467">
                  <c:v>809</c:v>
                </c:pt>
                <c:pt idx="468">
                  <c:v>592</c:v>
                </c:pt>
                <c:pt idx="469">
                  <c:v>246</c:v>
                </c:pt>
                <c:pt idx="470">
                  <c:v>887</c:v>
                </c:pt>
                <c:pt idx="471">
                  <c:v>714</c:v>
                </c:pt>
                <c:pt idx="472">
                  <c:v>634</c:v>
                </c:pt>
                <c:pt idx="473">
                  <c:v>685</c:v>
                </c:pt>
                <c:pt idx="474">
                  <c:v>674</c:v>
                </c:pt>
                <c:pt idx="475">
                  <c:v>597</c:v>
                </c:pt>
                <c:pt idx="476">
                  <c:v>260</c:v>
                </c:pt>
                <c:pt idx="477">
                  <c:v>866</c:v>
                </c:pt>
                <c:pt idx="478">
                  <c:v>265</c:v>
                </c:pt>
                <c:pt idx="479">
                  <c:v>671</c:v>
                </c:pt>
                <c:pt idx="480">
                  <c:v>708</c:v>
                </c:pt>
                <c:pt idx="481">
                  <c:v>687</c:v>
                </c:pt>
                <c:pt idx="482">
                  <c:v>617</c:v>
                </c:pt>
                <c:pt idx="483">
                  <c:v>180</c:v>
                </c:pt>
                <c:pt idx="484">
                  <c:v>714</c:v>
                </c:pt>
                <c:pt idx="485">
                  <c:v>604</c:v>
                </c:pt>
                <c:pt idx="486">
                  <c:v>704</c:v>
                </c:pt>
                <c:pt idx="487">
                  <c:v>641</c:v>
                </c:pt>
                <c:pt idx="488">
                  <c:v>603</c:v>
                </c:pt>
                <c:pt idx="489">
                  <c:v>543</c:v>
                </c:pt>
                <c:pt idx="490">
                  <c:v>241</c:v>
                </c:pt>
                <c:pt idx="491">
                  <c:v>598</c:v>
                </c:pt>
                <c:pt idx="492">
                  <c:v>591</c:v>
                </c:pt>
                <c:pt idx="493">
                  <c:v>680</c:v>
                </c:pt>
                <c:pt idx="494">
                  <c:v>544</c:v>
                </c:pt>
                <c:pt idx="495">
                  <c:v>524</c:v>
                </c:pt>
                <c:pt idx="496">
                  <c:v>463</c:v>
                </c:pt>
                <c:pt idx="497">
                  <c:v>197</c:v>
                </c:pt>
                <c:pt idx="498">
                  <c:v>532</c:v>
                </c:pt>
                <c:pt idx="499">
                  <c:v>421</c:v>
                </c:pt>
                <c:pt idx="500">
                  <c:v>447</c:v>
                </c:pt>
                <c:pt idx="501">
                  <c:v>527</c:v>
                </c:pt>
                <c:pt idx="502">
                  <c:v>492</c:v>
                </c:pt>
                <c:pt idx="503">
                  <c:v>499</c:v>
                </c:pt>
                <c:pt idx="504">
                  <c:v>132</c:v>
                </c:pt>
                <c:pt idx="505">
                  <c:v>481</c:v>
                </c:pt>
                <c:pt idx="506">
                  <c:v>427</c:v>
                </c:pt>
                <c:pt idx="507">
                  <c:v>161</c:v>
                </c:pt>
                <c:pt idx="508">
                  <c:v>259</c:v>
                </c:pt>
                <c:pt idx="509">
                  <c:v>570</c:v>
                </c:pt>
                <c:pt idx="510">
                  <c:v>480</c:v>
                </c:pt>
                <c:pt idx="511">
                  <c:v>200</c:v>
                </c:pt>
                <c:pt idx="512">
                  <c:v>535</c:v>
                </c:pt>
                <c:pt idx="513">
                  <c:v>492</c:v>
                </c:pt>
                <c:pt idx="514">
                  <c:v>459</c:v>
                </c:pt>
                <c:pt idx="515">
                  <c:v>528</c:v>
                </c:pt>
                <c:pt idx="516">
                  <c:v>516</c:v>
                </c:pt>
                <c:pt idx="517">
                  <c:v>482</c:v>
                </c:pt>
                <c:pt idx="518">
                  <c:v>165</c:v>
                </c:pt>
                <c:pt idx="519">
                  <c:v>493</c:v>
                </c:pt>
                <c:pt idx="520">
                  <c:v>541</c:v>
                </c:pt>
                <c:pt idx="521">
                  <c:v>724</c:v>
                </c:pt>
                <c:pt idx="522">
                  <c:v>455</c:v>
                </c:pt>
                <c:pt idx="523">
                  <c:v>503</c:v>
                </c:pt>
                <c:pt idx="524">
                  <c:v>366</c:v>
                </c:pt>
                <c:pt idx="525">
                  <c:v>149</c:v>
                </c:pt>
                <c:pt idx="526">
                  <c:v>600</c:v>
                </c:pt>
                <c:pt idx="527">
                  <c:v>395</c:v>
                </c:pt>
                <c:pt idx="528">
                  <c:v>397</c:v>
                </c:pt>
                <c:pt idx="529">
                  <c:v>464</c:v>
                </c:pt>
                <c:pt idx="530">
                  <c:v>359</c:v>
                </c:pt>
                <c:pt idx="531">
                  <c:v>291</c:v>
                </c:pt>
                <c:pt idx="532">
                  <c:v>151</c:v>
                </c:pt>
                <c:pt idx="533">
                  <c:v>499</c:v>
                </c:pt>
                <c:pt idx="534">
                  <c:v>395</c:v>
                </c:pt>
                <c:pt idx="535">
                  <c:v>397</c:v>
                </c:pt>
                <c:pt idx="536">
                  <c:v>341</c:v>
                </c:pt>
                <c:pt idx="537">
                  <c:v>439</c:v>
                </c:pt>
                <c:pt idx="538">
                  <c:v>312</c:v>
                </c:pt>
                <c:pt idx="539">
                  <c:v>148</c:v>
                </c:pt>
                <c:pt idx="540">
                  <c:v>167</c:v>
                </c:pt>
                <c:pt idx="541">
                  <c:v>390</c:v>
                </c:pt>
                <c:pt idx="542">
                  <c:v>374</c:v>
                </c:pt>
                <c:pt idx="543">
                  <c:v>356</c:v>
                </c:pt>
                <c:pt idx="544">
                  <c:v>376</c:v>
                </c:pt>
                <c:pt idx="545">
                  <c:v>370</c:v>
                </c:pt>
                <c:pt idx="546">
                  <c:v>182</c:v>
                </c:pt>
                <c:pt idx="547">
                  <c:v>374</c:v>
                </c:pt>
                <c:pt idx="548">
                  <c:v>362</c:v>
                </c:pt>
                <c:pt idx="549">
                  <c:v>333</c:v>
                </c:pt>
                <c:pt idx="550">
                  <c:v>377</c:v>
                </c:pt>
                <c:pt idx="551">
                  <c:v>362</c:v>
                </c:pt>
                <c:pt idx="552">
                  <c:v>314</c:v>
                </c:pt>
                <c:pt idx="553">
                  <c:v>152</c:v>
                </c:pt>
                <c:pt idx="554">
                  <c:v>442</c:v>
                </c:pt>
                <c:pt idx="555">
                  <c:v>366</c:v>
                </c:pt>
                <c:pt idx="556">
                  <c:v>538</c:v>
                </c:pt>
                <c:pt idx="557">
                  <c:v>348</c:v>
                </c:pt>
                <c:pt idx="558">
                  <c:v>376</c:v>
                </c:pt>
                <c:pt idx="559">
                  <c:v>357</c:v>
                </c:pt>
                <c:pt idx="560">
                  <c:v>141</c:v>
                </c:pt>
                <c:pt idx="561">
                  <c:v>416</c:v>
                </c:pt>
                <c:pt idx="562">
                  <c:v>389</c:v>
                </c:pt>
                <c:pt idx="563">
                  <c:v>515</c:v>
                </c:pt>
                <c:pt idx="564">
                  <c:v>367</c:v>
                </c:pt>
                <c:pt idx="565">
                  <c:v>382</c:v>
                </c:pt>
                <c:pt idx="566">
                  <c:v>351</c:v>
                </c:pt>
                <c:pt idx="567">
                  <c:v>153</c:v>
                </c:pt>
                <c:pt idx="568">
                  <c:v>488</c:v>
                </c:pt>
                <c:pt idx="569">
                  <c:v>554</c:v>
                </c:pt>
                <c:pt idx="570">
                  <c:v>407</c:v>
                </c:pt>
                <c:pt idx="571">
                  <c:v>498</c:v>
                </c:pt>
                <c:pt idx="572">
                  <c:v>414</c:v>
                </c:pt>
                <c:pt idx="573">
                  <c:v>342</c:v>
                </c:pt>
                <c:pt idx="574">
                  <c:v>183</c:v>
                </c:pt>
                <c:pt idx="575">
                  <c:v>428</c:v>
                </c:pt>
                <c:pt idx="576">
                  <c:v>530</c:v>
                </c:pt>
                <c:pt idx="577">
                  <c:v>456</c:v>
                </c:pt>
                <c:pt idx="578">
                  <c:v>422</c:v>
                </c:pt>
                <c:pt idx="579">
                  <c:v>296</c:v>
                </c:pt>
                <c:pt idx="580">
                  <c:v>445</c:v>
                </c:pt>
                <c:pt idx="581">
                  <c:v>152</c:v>
                </c:pt>
                <c:pt idx="582">
                  <c:v>467</c:v>
                </c:pt>
                <c:pt idx="583">
                  <c:v>412</c:v>
                </c:pt>
                <c:pt idx="584">
                  <c:v>539</c:v>
                </c:pt>
                <c:pt idx="585">
                  <c:v>414</c:v>
                </c:pt>
                <c:pt idx="586">
                  <c:v>415</c:v>
                </c:pt>
                <c:pt idx="587">
                  <c:v>363</c:v>
                </c:pt>
                <c:pt idx="588">
                  <c:v>139</c:v>
                </c:pt>
                <c:pt idx="589">
                  <c:v>500</c:v>
                </c:pt>
                <c:pt idx="590">
                  <c:v>418</c:v>
                </c:pt>
                <c:pt idx="591">
                  <c:v>489</c:v>
                </c:pt>
                <c:pt idx="592">
                  <c:v>513</c:v>
                </c:pt>
                <c:pt idx="593">
                  <c:v>449</c:v>
                </c:pt>
                <c:pt idx="594">
                  <c:v>325</c:v>
                </c:pt>
                <c:pt idx="595">
                  <c:v>205</c:v>
                </c:pt>
                <c:pt idx="596">
                  <c:v>478</c:v>
                </c:pt>
                <c:pt idx="597">
                  <c:v>478</c:v>
                </c:pt>
                <c:pt idx="598">
                  <c:v>368</c:v>
                </c:pt>
                <c:pt idx="599">
                  <c:v>444</c:v>
                </c:pt>
                <c:pt idx="600">
                  <c:v>450</c:v>
                </c:pt>
                <c:pt idx="601">
                  <c:v>396</c:v>
                </c:pt>
                <c:pt idx="602">
                  <c:v>175</c:v>
                </c:pt>
                <c:pt idx="603">
                  <c:v>225</c:v>
                </c:pt>
                <c:pt idx="604">
                  <c:v>497</c:v>
                </c:pt>
                <c:pt idx="605">
                  <c:v>473</c:v>
                </c:pt>
                <c:pt idx="606">
                  <c:v>542</c:v>
                </c:pt>
                <c:pt idx="607">
                  <c:v>510</c:v>
                </c:pt>
                <c:pt idx="608">
                  <c:v>412</c:v>
                </c:pt>
                <c:pt idx="609">
                  <c:v>183</c:v>
                </c:pt>
                <c:pt idx="610">
                  <c:v>606</c:v>
                </c:pt>
                <c:pt idx="611">
                  <c:v>625</c:v>
                </c:pt>
                <c:pt idx="612">
                  <c:v>544</c:v>
                </c:pt>
                <c:pt idx="613">
                  <c:v>539</c:v>
                </c:pt>
                <c:pt idx="614">
                  <c:v>525</c:v>
                </c:pt>
                <c:pt idx="615">
                  <c:v>460</c:v>
                </c:pt>
                <c:pt idx="616">
                  <c:v>494</c:v>
                </c:pt>
                <c:pt idx="617">
                  <c:v>884</c:v>
                </c:pt>
                <c:pt idx="618">
                  <c:v>752</c:v>
                </c:pt>
                <c:pt idx="619">
                  <c:v>794</c:v>
                </c:pt>
                <c:pt idx="620">
                  <c:v>943</c:v>
                </c:pt>
                <c:pt idx="621">
                  <c:v>905</c:v>
                </c:pt>
                <c:pt idx="622">
                  <c:v>781</c:v>
                </c:pt>
                <c:pt idx="623">
                  <c:v>527</c:v>
                </c:pt>
                <c:pt idx="624">
                  <c:v>883</c:v>
                </c:pt>
                <c:pt idx="625">
                  <c:v>755</c:v>
                </c:pt>
                <c:pt idx="626">
                  <c:v>863</c:v>
                </c:pt>
                <c:pt idx="627">
                  <c:v>854</c:v>
                </c:pt>
                <c:pt idx="628">
                  <c:v>863</c:v>
                </c:pt>
                <c:pt idx="629">
                  <c:v>676</c:v>
                </c:pt>
                <c:pt idx="630">
                  <c:v>494</c:v>
                </c:pt>
                <c:pt idx="631">
                  <c:v>774</c:v>
                </c:pt>
                <c:pt idx="632">
                  <c:v>748</c:v>
                </c:pt>
                <c:pt idx="633">
                  <c:v>750</c:v>
                </c:pt>
                <c:pt idx="634">
                  <c:v>903</c:v>
                </c:pt>
                <c:pt idx="635">
                  <c:v>811</c:v>
                </c:pt>
                <c:pt idx="636">
                  <c:v>827</c:v>
                </c:pt>
                <c:pt idx="637">
                  <c:v>543</c:v>
                </c:pt>
                <c:pt idx="638">
                  <c:v>972</c:v>
                </c:pt>
                <c:pt idx="639">
                  <c:v>851</c:v>
                </c:pt>
                <c:pt idx="640">
                  <c:v>520</c:v>
                </c:pt>
                <c:pt idx="641">
                  <c:v>845</c:v>
                </c:pt>
                <c:pt idx="642">
                  <c:v>833</c:v>
                </c:pt>
                <c:pt idx="643">
                  <c:v>790</c:v>
                </c:pt>
                <c:pt idx="644">
                  <c:v>619</c:v>
                </c:pt>
                <c:pt idx="645">
                  <c:v>788</c:v>
                </c:pt>
                <c:pt idx="646">
                  <c:v>764</c:v>
                </c:pt>
                <c:pt idx="647">
                  <c:v>865</c:v>
                </c:pt>
                <c:pt idx="648">
                  <c:v>1073</c:v>
                </c:pt>
                <c:pt idx="649">
                  <c:v>985</c:v>
                </c:pt>
                <c:pt idx="650">
                  <c:v>842</c:v>
                </c:pt>
                <c:pt idx="651">
                  <c:v>550</c:v>
                </c:pt>
                <c:pt idx="652">
                  <c:v>1035</c:v>
                </c:pt>
                <c:pt idx="653">
                  <c:v>1073</c:v>
                </c:pt>
                <c:pt idx="654">
                  <c:v>1073</c:v>
                </c:pt>
                <c:pt idx="655">
                  <c:v>1274</c:v>
                </c:pt>
                <c:pt idx="656">
                  <c:v>1207</c:v>
                </c:pt>
                <c:pt idx="657">
                  <c:v>681</c:v>
                </c:pt>
                <c:pt idx="658">
                  <c:v>768</c:v>
                </c:pt>
                <c:pt idx="659">
                  <c:v>2109</c:v>
                </c:pt>
                <c:pt idx="660">
                  <c:v>2694</c:v>
                </c:pt>
                <c:pt idx="661">
                  <c:v>2876</c:v>
                </c:pt>
                <c:pt idx="662">
                  <c:v>3254</c:v>
                </c:pt>
                <c:pt idx="663">
                  <c:v>2690</c:v>
                </c:pt>
                <c:pt idx="664">
                  <c:v>1648</c:v>
                </c:pt>
                <c:pt idx="665">
                  <c:v>2199</c:v>
                </c:pt>
                <c:pt idx="666">
                  <c:v>6153</c:v>
                </c:pt>
                <c:pt idx="667">
                  <c:v>7919</c:v>
                </c:pt>
                <c:pt idx="668">
                  <c:v>9455</c:v>
                </c:pt>
                <c:pt idx="669">
                  <c:v>11838</c:v>
                </c:pt>
                <c:pt idx="670">
                  <c:v>11506</c:v>
                </c:pt>
                <c:pt idx="671">
                  <c:v>13220</c:v>
                </c:pt>
                <c:pt idx="672">
                  <c:v>6940</c:v>
                </c:pt>
                <c:pt idx="673">
                  <c:v>21157</c:v>
                </c:pt>
                <c:pt idx="674">
                  <c:v>20121</c:v>
                </c:pt>
                <c:pt idx="675">
                  <c:v>23386</c:v>
                </c:pt>
                <c:pt idx="676">
                  <c:v>24918</c:v>
                </c:pt>
                <c:pt idx="677">
                  <c:v>25752</c:v>
                </c:pt>
                <c:pt idx="678">
                  <c:v>22847</c:v>
                </c:pt>
                <c:pt idx="679">
                  <c:v>10081</c:v>
                </c:pt>
                <c:pt idx="680">
                  <c:v>28021</c:v>
                </c:pt>
                <c:pt idx="681">
                  <c:v>26797</c:v>
                </c:pt>
                <c:pt idx="682">
                  <c:v>27286</c:v>
                </c:pt>
                <c:pt idx="683">
                  <c:v>25292</c:v>
                </c:pt>
                <c:pt idx="684">
                  <c:v>25554</c:v>
                </c:pt>
                <c:pt idx="685">
                  <c:v>22487</c:v>
                </c:pt>
                <c:pt idx="686">
                  <c:v>10155</c:v>
                </c:pt>
                <c:pt idx="687">
                  <c:v>21651</c:v>
                </c:pt>
                <c:pt idx="688">
                  <c:v>20717</c:v>
                </c:pt>
                <c:pt idx="689">
                  <c:v>19079</c:v>
                </c:pt>
                <c:pt idx="690">
                  <c:v>14515</c:v>
                </c:pt>
                <c:pt idx="691">
                  <c:v>9991</c:v>
                </c:pt>
                <c:pt idx="692">
                  <c:v>8185</c:v>
                </c:pt>
                <c:pt idx="693">
                  <c:v>3252</c:v>
                </c:pt>
                <c:pt idx="694">
                  <c:v>9719</c:v>
                </c:pt>
                <c:pt idx="695">
                  <c:v>7152</c:v>
                </c:pt>
                <c:pt idx="696">
                  <c:v>6688</c:v>
                </c:pt>
                <c:pt idx="697">
                  <c:v>6147</c:v>
                </c:pt>
                <c:pt idx="698">
                  <c:v>5363</c:v>
                </c:pt>
                <c:pt idx="699">
                  <c:v>4705</c:v>
                </c:pt>
                <c:pt idx="700">
                  <c:v>1666</c:v>
                </c:pt>
                <c:pt idx="701">
                  <c:v>3894</c:v>
                </c:pt>
                <c:pt idx="702">
                  <c:v>3943</c:v>
                </c:pt>
                <c:pt idx="703">
                  <c:v>5663</c:v>
                </c:pt>
                <c:pt idx="704">
                  <c:v>5282</c:v>
                </c:pt>
                <c:pt idx="705">
                  <c:v>4154</c:v>
                </c:pt>
                <c:pt idx="706">
                  <c:v>4481</c:v>
                </c:pt>
                <c:pt idx="707">
                  <c:v>798</c:v>
                </c:pt>
                <c:pt idx="708">
                  <c:v>3695</c:v>
                </c:pt>
                <c:pt idx="709">
                  <c:v>4504</c:v>
                </c:pt>
                <c:pt idx="710">
                  <c:v>4057</c:v>
                </c:pt>
                <c:pt idx="711">
                  <c:v>3783</c:v>
                </c:pt>
                <c:pt idx="712">
                  <c:v>1958</c:v>
                </c:pt>
                <c:pt idx="713">
                  <c:v>1292</c:v>
                </c:pt>
                <c:pt idx="714">
                  <c:v>592</c:v>
                </c:pt>
                <c:pt idx="715">
                  <c:v>743</c:v>
                </c:pt>
                <c:pt idx="716">
                  <c:v>664</c:v>
                </c:pt>
                <c:pt idx="717">
                  <c:v>561</c:v>
                </c:pt>
                <c:pt idx="718">
                  <c:v>919</c:v>
                </c:pt>
                <c:pt idx="719">
                  <c:v>1278</c:v>
                </c:pt>
                <c:pt idx="720">
                  <c:v>1310</c:v>
                </c:pt>
                <c:pt idx="721">
                  <c:v>389</c:v>
                </c:pt>
                <c:pt idx="722">
                  <c:v>438</c:v>
                </c:pt>
                <c:pt idx="723">
                  <c:v>623</c:v>
                </c:pt>
                <c:pt idx="724">
                  <c:v>798</c:v>
                </c:pt>
                <c:pt idx="725">
                  <c:v>734</c:v>
                </c:pt>
                <c:pt idx="726">
                  <c:v>436</c:v>
                </c:pt>
                <c:pt idx="727">
                  <c:v>507</c:v>
                </c:pt>
                <c:pt idx="728">
                  <c:v>93</c:v>
                </c:pt>
                <c:pt idx="729">
                  <c:v>535</c:v>
                </c:pt>
                <c:pt idx="730">
                  <c:v>419</c:v>
                </c:pt>
                <c:pt idx="731">
                  <c:v>394</c:v>
                </c:pt>
                <c:pt idx="732">
                  <c:v>370</c:v>
                </c:pt>
                <c:pt idx="733">
                  <c:v>222</c:v>
                </c:pt>
                <c:pt idx="734">
                  <c:v>232</c:v>
                </c:pt>
                <c:pt idx="735">
                  <c:v>106</c:v>
                </c:pt>
                <c:pt idx="736">
                  <c:v>240</c:v>
                </c:pt>
                <c:pt idx="737">
                  <c:v>406</c:v>
                </c:pt>
                <c:pt idx="738">
                  <c:v>193</c:v>
                </c:pt>
                <c:pt idx="739">
                  <c:v>230</c:v>
                </c:pt>
                <c:pt idx="740">
                  <c:v>185</c:v>
                </c:pt>
                <c:pt idx="741">
                  <c:v>258</c:v>
                </c:pt>
                <c:pt idx="742">
                  <c:v>154</c:v>
                </c:pt>
                <c:pt idx="743">
                  <c:v>187</c:v>
                </c:pt>
                <c:pt idx="744">
                  <c:v>163</c:v>
                </c:pt>
                <c:pt idx="745">
                  <c:v>241</c:v>
                </c:pt>
                <c:pt idx="746">
                  <c:v>178</c:v>
                </c:pt>
                <c:pt idx="747">
                  <c:v>183</c:v>
                </c:pt>
                <c:pt idx="748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D-44C6-88E0-72735F740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464511"/>
        <c:axId val="835463679"/>
      </c:areaChart>
      <c:dateAx>
        <c:axId val="83546451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35463679"/>
        <c:crosses val="autoZero"/>
        <c:auto val="1"/>
        <c:lblOffset val="100"/>
        <c:baseTimeUnit val="days"/>
      </c:dateAx>
      <c:valAx>
        <c:axId val="83546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3546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PE"/>
              <a:t>I(t) vs.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Sheet1!$A$2:$A$750</c:f>
              <c:numCache>
                <c:formatCode>General</c:formatCode>
                <c:ptCount val="74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</c:numCache>
            </c:numRef>
          </c:cat>
          <c:val>
            <c:numRef>
              <c:f>Sheet1!$D$2:$D$750</c:f>
              <c:numCache>
                <c:formatCode>General</c:formatCode>
                <c:ptCount val="749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15</c:v>
                </c:pt>
                <c:pt idx="6">
                  <c:v>23</c:v>
                </c:pt>
                <c:pt idx="7">
                  <c:v>31</c:v>
                </c:pt>
                <c:pt idx="8">
                  <c:v>42</c:v>
                </c:pt>
                <c:pt idx="9">
                  <c:v>62</c:v>
                </c:pt>
                <c:pt idx="10">
                  <c:v>76</c:v>
                </c:pt>
                <c:pt idx="11">
                  <c:v>91</c:v>
                </c:pt>
                <c:pt idx="12">
                  <c:v>135</c:v>
                </c:pt>
                <c:pt idx="13">
                  <c:v>183</c:v>
                </c:pt>
                <c:pt idx="14">
                  <c:v>200</c:v>
                </c:pt>
                <c:pt idx="15">
                  <c:v>212</c:v>
                </c:pt>
                <c:pt idx="16">
                  <c:v>222</c:v>
                </c:pt>
                <c:pt idx="17">
                  <c:v>233</c:v>
                </c:pt>
                <c:pt idx="18">
                  <c:v>264</c:v>
                </c:pt>
                <c:pt idx="19">
                  <c:v>298</c:v>
                </c:pt>
                <c:pt idx="20">
                  <c:v>280</c:v>
                </c:pt>
                <c:pt idx="21">
                  <c:v>276</c:v>
                </c:pt>
                <c:pt idx="22">
                  <c:v>332</c:v>
                </c:pt>
                <c:pt idx="23">
                  <c:v>407</c:v>
                </c:pt>
                <c:pt idx="24">
                  <c:v>477</c:v>
                </c:pt>
                <c:pt idx="25">
                  <c:v>622</c:v>
                </c:pt>
                <c:pt idx="26">
                  <c:v>599</c:v>
                </c:pt>
                <c:pt idx="27">
                  <c:v>731</c:v>
                </c:pt>
                <c:pt idx="28">
                  <c:v>895</c:v>
                </c:pt>
                <c:pt idx="29">
                  <c:v>1313</c:v>
                </c:pt>
                <c:pt idx="30">
                  <c:v>1520</c:v>
                </c:pt>
                <c:pt idx="31">
                  <c:v>1912</c:v>
                </c:pt>
                <c:pt idx="32">
                  <c:v>2353</c:v>
                </c:pt>
                <c:pt idx="33">
                  <c:v>2989</c:v>
                </c:pt>
                <c:pt idx="34">
                  <c:v>3444</c:v>
                </c:pt>
                <c:pt idx="35">
                  <c:v>4050</c:v>
                </c:pt>
                <c:pt idx="36">
                  <c:v>4319</c:v>
                </c:pt>
                <c:pt idx="37">
                  <c:v>4529</c:v>
                </c:pt>
                <c:pt idx="38">
                  <c:v>4760</c:v>
                </c:pt>
                <c:pt idx="39">
                  <c:v>4755</c:v>
                </c:pt>
                <c:pt idx="40">
                  <c:v>4848</c:v>
                </c:pt>
                <c:pt idx="41">
                  <c:v>5072</c:v>
                </c:pt>
                <c:pt idx="42">
                  <c:v>4870</c:v>
                </c:pt>
                <c:pt idx="43">
                  <c:v>4976</c:v>
                </c:pt>
                <c:pt idx="44">
                  <c:v>5303</c:v>
                </c:pt>
                <c:pt idx="45">
                  <c:v>5728</c:v>
                </c:pt>
                <c:pt idx="46">
                  <c:v>6366</c:v>
                </c:pt>
                <c:pt idx="47">
                  <c:v>7029</c:v>
                </c:pt>
                <c:pt idx="48">
                  <c:v>7482</c:v>
                </c:pt>
                <c:pt idx="49">
                  <c:v>8229</c:v>
                </c:pt>
                <c:pt idx="50">
                  <c:v>8784</c:v>
                </c:pt>
                <c:pt idx="51">
                  <c:v>8926</c:v>
                </c:pt>
                <c:pt idx="52">
                  <c:v>9780</c:v>
                </c:pt>
                <c:pt idx="53">
                  <c:v>10261</c:v>
                </c:pt>
                <c:pt idx="54">
                  <c:v>11332</c:v>
                </c:pt>
                <c:pt idx="55">
                  <c:v>11828</c:v>
                </c:pt>
                <c:pt idx="56">
                  <c:v>11899</c:v>
                </c:pt>
                <c:pt idx="57">
                  <c:v>12403</c:v>
                </c:pt>
                <c:pt idx="58">
                  <c:v>12633</c:v>
                </c:pt>
                <c:pt idx="59">
                  <c:v>13016</c:v>
                </c:pt>
                <c:pt idx="60">
                  <c:v>13694</c:v>
                </c:pt>
                <c:pt idx="61">
                  <c:v>13436</c:v>
                </c:pt>
                <c:pt idx="62">
                  <c:v>14009</c:v>
                </c:pt>
                <c:pt idx="63">
                  <c:v>14617</c:v>
                </c:pt>
                <c:pt idx="64">
                  <c:v>14092</c:v>
                </c:pt>
                <c:pt idx="65">
                  <c:v>13468</c:v>
                </c:pt>
                <c:pt idx="66">
                  <c:v>13437</c:v>
                </c:pt>
                <c:pt idx="67">
                  <c:v>13944</c:v>
                </c:pt>
                <c:pt idx="68">
                  <c:v>14476</c:v>
                </c:pt>
                <c:pt idx="69">
                  <c:v>14248</c:v>
                </c:pt>
                <c:pt idx="70">
                  <c:v>14665</c:v>
                </c:pt>
                <c:pt idx="71">
                  <c:v>15650</c:v>
                </c:pt>
                <c:pt idx="72">
                  <c:v>16343</c:v>
                </c:pt>
                <c:pt idx="73">
                  <c:v>17078</c:v>
                </c:pt>
                <c:pt idx="74">
                  <c:v>16953</c:v>
                </c:pt>
                <c:pt idx="75">
                  <c:v>17108</c:v>
                </c:pt>
                <c:pt idx="76">
                  <c:v>17933</c:v>
                </c:pt>
                <c:pt idx="77">
                  <c:v>18926</c:v>
                </c:pt>
                <c:pt idx="78">
                  <c:v>19583</c:v>
                </c:pt>
                <c:pt idx="79">
                  <c:v>19274</c:v>
                </c:pt>
                <c:pt idx="80">
                  <c:v>20336</c:v>
                </c:pt>
                <c:pt idx="81">
                  <c:v>21631</c:v>
                </c:pt>
                <c:pt idx="82">
                  <c:v>22963</c:v>
                </c:pt>
                <c:pt idx="83">
                  <c:v>23584</c:v>
                </c:pt>
                <c:pt idx="84">
                  <c:v>23408</c:v>
                </c:pt>
                <c:pt idx="85">
                  <c:v>22999</c:v>
                </c:pt>
                <c:pt idx="86">
                  <c:v>23428</c:v>
                </c:pt>
                <c:pt idx="87">
                  <c:v>21418</c:v>
                </c:pt>
                <c:pt idx="88">
                  <c:v>19284</c:v>
                </c:pt>
                <c:pt idx="89">
                  <c:v>16083</c:v>
                </c:pt>
                <c:pt idx="90">
                  <c:v>14416</c:v>
                </c:pt>
                <c:pt idx="91">
                  <c:v>14042</c:v>
                </c:pt>
                <c:pt idx="92">
                  <c:v>13989</c:v>
                </c:pt>
                <c:pt idx="93">
                  <c:v>14374</c:v>
                </c:pt>
                <c:pt idx="94">
                  <c:v>14577</c:v>
                </c:pt>
                <c:pt idx="95">
                  <c:v>15496</c:v>
                </c:pt>
                <c:pt idx="96">
                  <c:v>17296</c:v>
                </c:pt>
                <c:pt idx="97">
                  <c:v>18643</c:v>
                </c:pt>
                <c:pt idx="98">
                  <c:v>18190</c:v>
                </c:pt>
                <c:pt idx="99">
                  <c:v>17806</c:v>
                </c:pt>
                <c:pt idx="100">
                  <c:v>17690</c:v>
                </c:pt>
                <c:pt idx="101">
                  <c:v>17683</c:v>
                </c:pt>
                <c:pt idx="102">
                  <c:v>16726</c:v>
                </c:pt>
                <c:pt idx="103">
                  <c:v>15741</c:v>
                </c:pt>
                <c:pt idx="104">
                  <c:v>14177</c:v>
                </c:pt>
                <c:pt idx="105">
                  <c:v>13242</c:v>
                </c:pt>
                <c:pt idx="106">
                  <c:v>12860</c:v>
                </c:pt>
                <c:pt idx="107">
                  <c:v>11853</c:v>
                </c:pt>
                <c:pt idx="108">
                  <c:v>11793</c:v>
                </c:pt>
                <c:pt idx="109">
                  <c:v>11728</c:v>
                </c:pt>
                <c:pt idx="110">
                  <c:v>11886</c:v>
                </c:pt>
                <c:pt idx="111">
                  <c:v>12370</c:v>
                </c:pt>
                <c:pt idx="112">
                  <c:v>12839</c:v>
                </c:pt>
                <c:pt idx="113">
                  <c:v>12498</c:v>
                </c:pt>
                <c:pt idx="114">
                  <c:v>12649</c:v>
                </c:pt>
                <c:pt idx="115">
                  <c:v>11592</c:v>
                </c:pt>
                <c:pt idx="116">
                  <c:v>11271</c:v>
                </c:pt>
                <c:pt idx="117">
                  <c:v>10801</c:v>
                </c:pt>
                <c:pt idx="118">
                  <c:v>10006</c:v>
                </c:pt>
                <c:pt idx="119">
                  <c:v>9720</c:v>
                </c:pt>
                <c:pt idx="120">
                  <c:v>9711</c:v>
                </c:pt>
                <c:pt idx="121">
                  <c:v>10140</c:v>
                </c:pt>
                <c:pt idx="122">
                  <c:v>10585</c:v>
                </c:pt>
                <c:pt idx="123">
                  <c:v>10922</c:v>
                </c:pt>
                <c:pt idx="124">
                  <c:v>10449</c:v>
                </c:pt>
                <c:pt idx="125">
                  <c:v>10302</c:v>
                </c:pt>
                <c:pt idx="126">
                  <c:v>10616</c:v>
                </c:pt>
                <c:pt idx="127">
                  <c:v>10713</c:v>
                </c:pt>
                <c:pt idx="128">
                  <c:v>10643</c:v>
                </c:pt>
                <c:pt idx="129">
                  <c:v>10900</c:v>
                </c:pt>
                <c:pt idx="130">
                  <c:v>11103</c:v>
                </c:pt>
                <c:pt idx="131">
                  <c:v>12267</c:v>
                </c:pt>
                <c:pt idx="132">
                  <c:v>13418</c:v>
                </c:pt>
                <c:pt idx="133">
                  <c:v>13749</c:v>
                </c:pt>
                <c:pt idx="134">
                  <c:v>14258</c:v>
                </c:pt>
                <c:pt idx="135">
                  <c:v>14321</c:v>
                </c:pt>
                <c:pt idx="136">
                  <c:v>14431</c:v>
                </c:pt>
                <c:pt idx="137">
                  <c:v>14658</c:v>
                </c:pt>
                <c:pt idx="138">
                  <c:v>15021</c:v>
                </c:pt>
                <c:pt idx="139">
                  <c:v>14924</c:v>
                </c:pt>
                <c:pt idx="140">
                  <c:v>15159</c:v>
                </c:pt>
                <c:pt idx="141">
                  <c:v>15191</c:v>
                </c:pt>
                <c:pt idx="142">
                  <c:v>15641</c:v>
                </c:pt>
                <c:pt idx="143">
                  <c:v>16461</c:v>
                </c:pt>
                <c:pt idx="144">
                  <c:v>15430</c:v>
                </c:pt>
                <c:pt idx="145">
                  <c:v>15568</c:v>
                </c:pt>
                <c:pt idx="146">
                  <c:v>16356</c:v>
                </c:pt>
                <c:pt idx="147">
                  <c:v>16755</c:v>
                </c:pt>
                <c:pt idx="148">
                  <c:v>17627</c:v>
                </c:pt>
                <c:pt idx="149">
                  <c:v>17729</c:v>
                </c:pt>
                <c:pt idx="150">
                  <c:v>18243</c:v>
                </c:pt>
                <c:pt idx="151">
                  <c:v>20267</c:v>
                </c:pt>
                <c:pt idx="152">
                  <c:v>20533</c:v>
                </c:pt>
                <c:pt idx="153">
                  <c:v>20611</c:v>
                </c:pt>
                <c:pt idx="154">
                  <c:v>20407</c:v>
                </c:pt>
                <c:pt idx="155">
                  <c:v>20288</c:v>
                </c:pt>
                <c:pt idx="156">
                  <c:v>20378</c:v>
                </c:pt>
                <c:pt idx="157">
                  <c:v>20003</c:v>
                </c:pt>
                <c:pt idx="158">
                  <c:v>20282</c:v>
                </c:pt>
                <c:pt idx="159">
                  <c:v>21257</c:v>
                </c:pt>
                <c:pt idx="160">
                  <c:v>21629</c:v>
                </c:pt>
                <c:pt idx="161">
                  <c:v>22837</c:v>
                </c:pt>
                <c:pt idx="162">
                  <c:v>23716</c:v>
                </c:pt>
                <c:pt idx="163">
                  <c:v>23989</c:v>
                </c:pt>
                <c:pt idx="164">
                  <c:v>24902</c:v>
                </c:pt>
                <c:pt idx="165">
                  <c:v>25044</c:v>
                </c:pt>
                <c:pt idx="166">
                  <c:v>24699</c:v>
                </c:pt>
                <c:pt idx="167">
                  <c:v>24252</c:v>
                </c:pt>
                <c:pt idx="168">
                  <c:v>23549</c:v>
                </c:pt>
                <c:pt idx="169">
                  <c:v>22579</c:v>
                </c:pt>
                <c:pt idx="170">
                  <c:v>21620</c:v>
                </c:pt>
                <c:pt idx="171">
                  <c:v>20615</c:v>
                </c:pt>
                <c:pt idx="172">
                  <c:v>20096</c:v>
                </c:pt>
                <c:pt idx="173">
                  <c:v>19747</c:v>
                </c:pt>
                <c:pt idx="174">
                  <c:v>19849</c:v>
                </c:pt>
                <c:pt idx="175">
                  <c:v>20535</c:v>
                </c:pt>
                <c:pt idx="176">
                  <c:v>20397</c:v>
                </c:pt>
                <c:pt idx="177">
                  <c:v>20460</c:v>
                </c:pt>
                <c:pt idx="178">
                  <c:v>20116</c:v>
                </c:pt>
                <c:pt idx="179">
                  <c:v>19373</c:v>
                </c:pt>
                <c:pt idx="180">
                  <c:v>18512</c:v>
                </c:pt>
                <c:pt idx="181">
                  <c:v>17213</c:v>
                </c:pt>
                <c:pt idx="182">
                  <c:v>16558</c:v>
                </c:pt>
                <c:pt idx="183">
                  <c:v>15741</c:v>
                </c:pt>
                <c:pt idx="184">
                  <c:v>15414</c:v>
                </c:pt>
                <c:pt idx="185">
                  <c:v>15249</c:v>
                </c:pt>
                <c:pt idx="186">
                  <c:v>14982</c:v>
                </c:pt>
                <c:pt idx="187">
                  <c:v>15153</c:v>
                </c:pt>
                <c:pt idx="188">
                  <c:v>14761</c:v>
                </c:pt>
                <c:pt idx="189">
                  <c:v>15490</c:v>
                </c:pt>
                <c:pt idx="190">
                  <c:v>15847</c:v>
                </c:pt>
                <c:pt idx="191">
                  <c:v>15954</c:v>
                </c:pt>
                <c:pt idx="192">
                  <c:v>15517</c:v>
                </c:pt>
                <c:pt idx="193">
                  <c:v>15257</c:v>
                </c:pt>
                <c:pt idx="194">
                  <c:v>14680</c:v>
                </c:pt>
                <c:pt idx="195">
                  <c:v>15875</c:v>
                </c:pt>
                <c:pt idx="196">
                  <c:v>14330</c:v>
                </c:pt>
                <c:pt idx="197">
                  <c:v>14341</c:v>
                </c:pt>
                <c:pt idx="198">
                  <c:v>14139</c:v>
                </c:pt>
                <c:pt idx="199">
                  <c:v>14135</c:v>
                </c:pt>
                <c:pt idx="200">
                  <c:v>14231</c:v>
                </c:pt>
                <c:pt idx="201">
                  <c:v>14248</c:v>
                </c:pt>
                <c:pt idx="202">
                  <c:v>13590</c:v>
                </c:pt>
                <c:pt idx="203">
                  <c:v>13092</c:v>
                </c:pt>
                <c:pt idx="204">
                  <c:v>12512</c:v>
                </c:pt>
                <c:pt idx="205">
                  <c:v>12871</c:v>
                </c:pt>
                <c:pt idx="206">
                  <c:v>12067</c:v>
                </c:pt>
                <c:pt idx="207">
                  <c:v>11421</c:v>
                </c:pt>
                <c:pt idx="208">
                  <c:v>10932</c:v>
                </c:pt>
                <c:pt idx="209">
                  <c:v>10204</c:v>
                </c:pt>
                <c:pt idx="210">
                  <c:v>10073</c:v>
                </c:pt>
                <c:pt idx="211">
                  <c:v>9758</c:v>
                </c:pt>
                <c:pt idx="212">
                  <c:v>9231</c:v>
                </c:pt>
                <c:pt idx="213">
                  <c:v>9421</c:v>
                </c:pt>
                <c:pt idx="214">
                  <c:v>9454</c:v>
                </c:pt>
                <c:pt idx="215">
                  <c:v>9185</c:v>
                </c:pt>
                <c:pt idx="216">
                  <c:v>9287</c:v>
                </c:pt>
                <c:pt idx="217">
                  <c:v>9140</c:v>
                </c:pt>
                <c:pt idx="218">
                  <c:v>8904</c:v>
                </c:pt>
                <c:pt idx="219">
                  <c:v>8844</c:v>
                </c:pt>
                <c:pt idx="220">
                  <c:v>8670</c:v>
                </c:pt>
                <c:pt idx="221">
                  <c:v>8743</c:v>
                </c:pt>
                <c:pt idx="222">
                  <c:v>8643</c:v>
                </c:pt>
                <c:pt idx="223">
                  <c:v>8425</c:v>
                </c:pt>
                <c:pt idx="224">
                  <c:v>8260</c:v>
                </c:pt>
                <c:pt idx="225">
                  <c:v>8214</c:v>
                </c:pt>
                <c:pt idx="226">
                  <c:v>8239</c:v>
                </c:pt>
                <c:pt idx="227">
                  <c:v>8277</c:v>
                </c:pt>
                <c:pt idx="228">
                  <c:v>8177</c:v>
                </c:pt>
                <c:pt idx="229">
                  <c:v>8448</c:v>
                </c:pt>
                <c:pt idx="230">
                  <c:v>8307</c:v>
                </c:pt>
                <c:pt idx="231">
                  <c:v>7935</c:v>
                </c:pt>
                <c:pt idx="232">
                  <c:v>7752</c:v>
                </c:pt>
                <c:pt idx="233">
                  <c:v>7659</c:v>
                </c:pt>
                <c:pt idx="234">
                  <c:v>7494</c:v>
                </c:pt>
                <c:pt idx="235">
                  <c:v>7186</c:v>
                </c:pt>
                <c:pt idx="236">
                  <c:v>6543</c:v>
                </c:pt>
                <c:pt idx="237">
                  <c:v>6357</c:v>
                </c:pt>
                <c:pt idx="238">
                  <c:v>6098</c:v>
                </c:pt>
                <c:pt idx="239">
                  <c:v>6190</c:v>
                </c:pt>
                <c:pt idx="240">
                  <c:v>6047</c:v>
                </c:pt>
                <c:pt idx="241">
                  <c:v>5812</c:v>
                </c:pt>
                <c:pt idx="242">
                  <c:v>5657</c:v>
                </c:pt>
                <c:pt idx="243">
                  <c:v>5819</c:v>
                </c:pt>
                <c:pt idx="244">
                  <c:v>5760</c:v>
                </c:pt>
                <c:pt idx="245">
                  <c:v>5490</c:v>
                </c:pt>
                <c:pt idx="246">
                  <c:v>4973</c:v>
                </c:pt>
                <c:pt idx="247">
                  <c:v>5455</c:v>
                </c:pt>
                <c:pt idx="248">
                  <c:v>5448</c:v>
                </c:pt>
                <c:pt idx="249">
                  <c:v>5238</c:v>
                </c:pt>
                <c:pt idx="250">
                  <c:v>4930</c:v>
                </c:pt>
                <c:pt idx="251">
                  <c:v>5000</c:v>
                </c:pt>
                <c:pt idx="252">
                  <c:v>4953</c:v>
                </c:pt>
                <c:pt idx="253">
                  <c:v>4968</c:v>
                </c:pt>
                <c:pt idx="254">
                  <c:v>4691</c:v>
                </c:pt>
                <c:pt idx="255">
                  <c:v>4542</c:v>
                </c:pt>
                <c:pt idx="256">
                  <c:v>4454</c:v>
                </c:pt>
                <c:pt idx="257">
                  <c:v>4361</c:v>
                </c:pt>
                <c:pt idx="258">
                  <c:v>4207</c:v>
                </c:pt>
                <c:pt idx="259">
                  <c:v>4119</c:v>
                </c:pt>
                <c:pt idx="260">
                  <c:v>4089</c:v>
                </c:pt>
                <c:pt idx="261">
                  <c:v>3988</c:v>
                </c:pt>
                <c:pt idx="262">
                  <c:v>3942</c:v>
                </c:pt>
                <c:pt idx="263">
                  <c:v>3900</c:v>
                </c:pt>
                <c:pt idx="264">
                  <c:v>3810</c:v>
                </c:pt>
                <c:pt idx="265">
                  <c:v>3794</c:v>
                </c:pt>
                <c:pt idx="266">
                  <c:v>3708</c:v>
                </c:pt>
                <c:pt idx="267">
                  <c:v>3783</c:v>
                </c:pt>
                <c:pt idx="268">
                  <c:v>3963</c:v>
                </c:pt>
                <c:pt idx="269">
                  <c:v>3969</c:v>
                </c:pt>
                <c:pt idx="270">
                  <c:v>3931</c:v>
                </c:pt>
                <c:pt idx="271">
                  <c:v>4082</c:v>
                </c:pt>
                <c:pt idx="272">
                  <c:v>3913</c:v>
                </c:pt>
                <c:pt idx="273">
                  <c:v>3933</c:v>
                </c:pt>
                <c:pt idx="274">
                  <c:v>4135</c:v>
                </c:pt>
                <c:pt idx="275">
                  <c:v>3774</c:v>
                </c:pt>
                <c:pt idx="276">
                  <c:v>3808</c:v>
                </c:pt>
                <c:pt idx="277">
                  <c:v>3765</c:v>
                </c:pt>
                <c:pt idx="278">
                  <c:v>3758</c:v>
                </c:pt>
                <c:pt idx="279">
                  <c:v>3894</c:v>
                </c:pt>
                <c:pt idx="280">
                  <c:v>3914</c:v>
                </c:pt>
                <c:pt idx="281">
                  <c:v>3800</c:v>
                </c:pt>
                <c:pt idx="282">
                  <c:v>4045</c:v>
                </c:pt>
                <c:pt idx="283">
                  <c:v>4079</c:v>
                </c:pt>
                <c:pt idx="284">
                  <c:v>4423</c:v>
                </c:pt>
                <c:pt idx="285">
                  <c:v>4405</c:v>
                </c:pt>
                <c:pt idx="286">
                  <c:v>4277</c:v>
                </c:pt>
                <c:pt idx="287">
                  <c:v>4288</c:v>
                </c:pt>
                <c:pt idx="288">
                  <c:v>4468</c:v>
                </c:pt>
                <c:pt idx="289">
                  <c:v>4598</c:v>
                </c:pt>
                <c:pt idx="290">
                  <c:v>4613</c:v>
                </c:pt>
                <c:pt idx="291">
                  <c:v>4323</c:v>
                </c:pt>
                <c:pt idx="292">
                  <c:v>4136</c:v>
                </c:pt>
                <c:pt idx="293">
                  <c:v>4264</c:v>
                </c:pt>
                <c:pt idx="294">
                  <c:v>4406</c:v>
                </c:pt>
                <c:pt idx="295">
                  <c:v>4342</c:v>
                </c:pt>
                <c:pt idx="296">
                  <c:v>4419</c:v>
                </c:pt>
                <c:pt idx="297">
                  <c:v>4965</c:v>
                </c:pt>
                <c:pt idx="298">
                  <c:v>5022</c:v>
                </c:pt>
                <c:pt idx="299">
                  <c:v>5039</c:v>
                </c:pt>
                <c:pt idx="300">
                  <c:v>5273</c:v>
                </c:pt>
                <c:pt idx="301">
                  <c:v>5774</c:v>
                </c:pt>
                <c:pt idx="302">
                  <c:v>5827</c:v>
                </c:pt>
                <c:pt idx="303">
                  <c:v>6143</c:v>
                </c:pt>
                <c:pt idx="304">
                  <c:v>6334</c:v>
                </c:pt>
                <c:pt idx="305">
                  <c:v>7403</c:v>
                </c:pt>
                <c:pt idx="306">
                  <c:v>9081</c:v>
                </c:pt>
                <c:pt idx="307">
                  <c:v>9667</c:v>
                </c:pt>
                <c:pt idx="308">
                  <c:v>9835</c:v>
                </c:pt>
                <c:pt idx="309">
                  <c:v>10658</c:v>
                </c:pt>
                <c:pt idx="310">
                  <c:v>11834</c:v>
                </c:pt>
                <c:pt idx="311">
                  <c:v>12488</c:v>
                </c:pt>
                <c:pt idx="312">
                  <c:v>12756</c:v>
                </c:pt>
                <c:pt idx="313">
                  <c:v>12929</c:v>
                </c:pt>
                <c:pt idx="314">
                  <c:v>13481</c:v>
                </c:pt>
                <c:pt idx="315">
                  <c:v>14675</c:v>
                </c:pt>
                <c:pt idx="316">
                  <c:v>15783</c:v>
                </c:pt>
                <c:pt idx="317">
                  <c:v>16394</c:v>
                </c:pt>
                <c:pt idx="318">
                  <c:v>16616</c:v>
                </c:pt>
                <c:pt idx="319">
                  <c:v>17587</c:v>
                </c:pt>
                <c:pt idx="320">
                  <c:v>18458</c:v>
                </c:pt>
                <c:pt idx="321">
                  <c:v>20151</c:v>
                </c:pt>
                <c:pt idx="322">
                  <c:v>19049</c:v>
                </c:pt>
                <c:pt idx="323">
                  <c:v>19778</c:v>
                </c:pt>
                <c:pt idx="324">
                  <c:v>20004</c:v>
                </c:pt>
                <c:pt idx="325">
                  <c:v>20302</c:v>
                </c:pt>
                <c:pt idx="326">
                  <c:v>20876</c:v>
                </c:pt>
                <c:pt idx="327">
                  <c:v>21193</c:v>
                </c:pt>
                <c:pt idx="328">
                  <c:v>20349</c:v>
                </c:pt>
                <c:pt idx="329">
                  <c:v>21343</c:v>
                </c:pt>
                <c:pt idx="330">
                  <c:v>22238</c:v>
                </c:pt>
                <c:pt idx="331">
                  <c:v>23712</c:v>
                </c:pt>
                <c:pt idx="332">
                  <c:v>25041</c:v>
                </c:pt>
                <c:pt idx="333">
                  <c:v>26275</c:v>
                </c:pt>
                <c:pt idx="334">
                  <c:v>27883</c:v>
                </c:pt>
                <c:pt idx="335">
                  <c:v>29077</c:v>
                </c:pt>
                <c:pt idx="336">
                  <c:v>29470</c:v>
                </c:pt>
                <c:pt idx="337">
                  <c:v>29187</c:v>
                </c:pt>
                <c:pt idx="338">
                  <c:v>28756</c:v>
                </c:pt>
                <c:pt idx="339">
                  <c:v>28986</c:v>
                </c:pt>
                <c:pt idx="340">
                  <c:v>28382</c:v>
                </c:pt>
                <c:pt idx="341">
                  <c:v>26948</c:v>
                </c:pt>
                <c:pt idx="342">
                  <c:v>26892</c:v>
                </c:pt>
                <c:pt idx="343">
                  <c:v>25931</c:v>
                </c:pt>
                <c:pt idx="344">
                  <c:v>26043</c:v>
                </c:pt>
                <c:pt idx="345">
                  <c:v>26431</c:v>
                </c:pt>
                <c:pt idx="346">
                  <c:v>27372</c:v>
                </c:pt>
                <c:pt idx="347">
                  <c:v>27244</c:v>
                </c:pt>
                <c:pt idx="348">
                  <c:v>27163</c:v>
                </c:pt>
                <c:pt idx="349">
                  <c:v>26673</c:v>
                </c:pt>
                <c:pt idx="350">
                  <c:v>26726</c:v>
                </c:pt>
                <c:pt idx="351">
                  <c:v>26764</c:v>
                </c:pt>
                <c:pt idx="352">
                  <c:v>26025</c:v>
                </c:pt>
                <c:pt idx="353">
                  <c:v>24707</c:v>
                </c:pt>
                <c:pt idx="354">
                  <c:v>24860</c:v>
                </c:pt>
                <c:pt idx="355">
                  <c:v>25558</c:v>
                </c:pt>
                <c:pt idx="356">
                  <c:v>25188</c:v>
                </c:pt>
                <c:pt idx="357">
                  <c:v>24972</c:v>
                </c:pt>
                <c:pt idx="358">
                  <c:v>24678</c:v>
                </c:pt>
                <c:pt idx="359">
                  <c:v>24688</c:v>
                </c:pt>
                <c:pt idx="360">
                  <c:v>24514</c:v>
                </c:pt>
                <c:pt idx="361">
                  <c:v>23855</c:v>
                </c:pt>
                <c:pt idx="362">
                  <c:v>23403</c:v>
                </c:pt>
                <c:pt idx="363">
                  <c:v>23859</c:v>
                </c:pt>
                <c:pt idx="364">
                  <c:v>23786</c:v>
                </c:pt>
                <c:pt idx="365">
                  <c:v>23950</c:v>
                </c:pt>
                <c:pt idx="366">
                  <c:v>23813</c:v>
                </c:pt>
                <c:pt idx="367">
                  <c:v>23881</c:v>
                </c:pt>
                <c:pt idx="368">
                  <c:v>24471</c:v>
                </c:pt>
                <c:pt idx="369">
                  <c:v>24075</c:v>
                </c:pt>
                <c:pt idx="370">
                  <c:v>23042</c:v>
                </c:pt>
                <c:pt idx="371">
                  <c:v>23778</c:v>
                </c:pt>
                <c:pt idx="372">
                  <c:v>24843</c:v>
                </c:pt>
                <c:pt idx="373">
                  <c:v>25031</c:v>
                </c:pt>
                <c:pt idx="374">
                  <c:v>25316</c:v>
                </c:pt>
                <c:pt idx="375">
                  <c:v>24935</c:v>
                </c:pt>
                <c:pt idx="376">
                  <c:v>25757</c:v>
                </c:pt>
                <c:pt idx="377">
                  <c:v>26911</c:v>
                </c:pt>
                <c:pt idx="378">
                  <c:v>27423</c:v>
                </c:pt>
                <c:pt idx="379">
                  <c:v>28250</c:v>
                </c:pt>
                <c:pt idx="380">
                  <c:v>29124</c:v>
                </c:pt>
                <c:pt idx="381">
                  <c:v>29853</c:v>
                </c:pt>
                <c:pt idx="382">
                  <c:v>30226</c:v>
                </c:pt>
                <c:pt idx="383">
                  <c:v>29774</c:v>
                </c:pt>
                <c:pt idx="384">
                  <c:v>29971</c:v>
                </c:pt>
                <c:pt idx="385">
                  <c:v>28729</c:v>
                </c:pt>
                <c:pt idx="386">
                  <c:v>27214</c:v>
                </c:pt>
                <c:pt idx="387">
                  <c:v>27549</c:v>
                </c:pt>
                <c:pt idx="388">
                  <c:v>27089</c:v>
                </c:pt>
                <c:pt idx="389">
                  <c:v>25867</c:v>
                </c:pt>
                <c:pt idx="390">
                  <c:v>23696</c:v>
                </c:pt>
                <c:pt idx="391">
                  <c:v>22797</c:v>
                </c:pt>
                <c:pt idx="392">
                  <c:v>24102</c:v>
                </c:pt>
                <c:pt idx="393">
                  <c:v>24717</c:v>
                </c:pt>
                <c:pt idx="394">
                  <c:v>23898</c:v>
                </c:pt>
                <c:pt idx="395">
                  <c:v>24281</c:v>
                </c:pt>
                <c:pt idx="396">
                  <c:v>25887</c:v>
                </c:pt>
                <c:pt idx="397">
                  <c:v>28065</c:v>
                </c:pt>
                <c:pt idx="398">
                  <c:v>28530</c:v>
                </c:pt>
                <c:pt idx="399">
                  <c:v>26886</c:v>
                </c:pt>
                <c:pt idx="400">
                  <c:v>25884</c:v>
                </c:pt>
                <c:pt idx="401">
                  <c:v>25310</c:v>
                </c:pt>
                <c:pt idx="402">
                  <c:v>24075</c:v>
                </c:pt>
                <c:pt idx="403">
                  <c:v>23614</c:v>
                </c:pt>
                <c:pt idx="404">
                  <c:v>24543</c:v>
                </c:pt>
                <c:pt idx="405">
                  <c:v>24108</c:v>
                </c:pt>
                <c:pt idx="406">
                  <c:v>24033</c:v>
                </c:pt>
                <c:pt idx="407">
                  <c:v>23302</c:v>
                </c:pt>
                <c:pt idx="408">
                  <c:v>22552</c:v>
                </c:pt>
                <c:pt idx="409">
                  <c:v>22299</c:v>
                </c:pt>
                <c:pt idx="410">
                  <c:v>21755</c:v>
                </c:pt>
                <c:pt idx="411">
                  <c:v>20281</c:v>
                </c:pt>
                <c:pt idx="412">
                  <c:v>20074</c:v>
                </c:pt>
                <c:pt idx="413">
                  <c:v>20815</c:v>
                </c:pt>
                <c:pt idx="414">
                  <c:v>20524</c:v>
                </c:pt>
                <c:pt idx="415">
                  <c:v>20513</c:v>
                </c:pt>
                <c:pt idx="416">
                  <c:v>20261</c:v>
                </c:pt>
                <c:pt idx="417">
                  <c:v>19629</c:v>
                </c:pt>
                <c:pt idx="418">
                  <c:v>18934</c:v>
                </c:pt>
                <c:pt idx="419">
                  <c:v>17971</c:v>
                </c:pt>
                <c:pt idx="420">
                  <c:v>17492</c:v>
                </c:pt>
                <c:pt idx="421">
                  <c:v>16566</c:v>
                </c:pt>
                <c:pt idx="422">
                  <c:v>15932</c:v>
                </c:pt>
                <c:pt idx="423">
                  <c:v>15502</c:v>
                </c:pt>
                <c:pt idx="424">
                  <c:v>14711</c:v>
                </c:pt>
                <c:pt idx="425">
                  <c:v>14398</c:v>
                </c:pt>
                <c:pt idx="426">
                  <c:v>14071</c:v>
                </c:pt>
                <c:pt idx="427">
                  <c:v>13330</c:v>
                </c:pt>
                <c:pt idx="428">
                  <c:v>13680</c:v>
                </c:pt>
                <c:pt idx="429">
                  <c:v>13467</c:v>
                </c:pt>
                <c:pt idx="430">
                  <c:v>13032</c:v>
                </c:pt>
                <c:pt idx="431">
                  <c:v>13006</c:v>
                </c:pt>
                <c:pt idx="432">
                  <c:v>12430</c:v>
                </c:pt>
                <c:pt idx="433">
                  <c:v>12248</c:v>
                </c:pt>
                <c:pt idx="434">
                  <c:v>12322</c:v>
                </c:pt>
                <c:pt idx="435">
                  <c:v>11511</c:v>
                </c:pt>
                <c:pt idx="436">
                  <c:v>11089</c:v>
                </c:pt>
                <c:pt idx="437">
                  <c:v>10519</c:v>
                </c:pt>
                <c:pt idx="438">
                  <c:v>10064</c:v>
                </c:pt>
                <c:pt idx="439">
                  <c:v>9721</c:v>
                </c:pt>
                <c:pt idx="440">
                  <c:v>9496</c:v>
                </c:pt>
                <c:pt idx="441">
                  <c:v>9187</c:v>
                </c:pt>
                <c:pt idx="442">
                  <c:v>8947</c:v>
                </c:pt>
                <c:pt idx="443">
                  <c:v>8889</c:v>
                </c:pt>
                <c:pt idx="444">
                  <c:v>8780</c:v>
                </c:pt>
                <c:pt idx="445">
                  <c:v>8322</c:v>
                </c:pt>
                <c:pt idx="446">
                  <c:v>7999</c:v>
                </c:pt>
                <c:pt idx="447">
                  <c:v>7756</c:v>
                </c:pt>
                <c:pt idx="448">
                  <c:v>7690</c:v>
                </c:pt>
                <c:pt idx="449">
                  <c:v>7420</c:v>
                </c:pt>
                <c:pt idx="450">
                  <c:v>6875</c:v>
                </c:pt>
                <c:pt idx="451">
                  <c:v>6641</c:v>
                </c:pt>
                <c:pt idx="452">
                  <c:v>6461</c:v>
                </c:pt>
                <c:pt idx="453">
                  <c:v>6460</c:v>
                </c:pt>
                <c:pt idx="454">
                  <c:v>6372</c:v>
                </c:pt>
                <c:pt idx="455">
                  <c:v>6322</c:v>
                </c:pt>
                <c:pt idx="456">
                  <c:v>6196</c:v>
                </c:pt>
                <c:pt idx="457">
                  <c:v>5933</c:v>
                </c:pt>
                <c:pt idx="458">
                  <c:v>5742</c:v>
                </c:pt>
                <c:pt idx="459">
                  <c:v>5518</c:v>
                </c:pt>
                <c:pt idx="460">
                  <c:v>5278</c:v>
                </c:pt>
                <c:pt idx="461">
                  <c:v>5142</c:v>
                </c:pt>
                <c:pt idx="462">
                  <c:v>5127</c:v>
                </c:pt>
                <c:pt idx="463">
                  <c:v>5057</c:v>
                </c:pt>
                <c:pt idx="464">
                  <c:v>7219</c:v>
                </c:pt>
                <c:pt idx="465">
                  <c:v>7335</c:v>
                </c:pt>
                <c:pt idx="466">
                  <c:v>7481</c:v>
                </c:pt>
                <c:pt idx="467">
                  <c:v>7494</c:v>
                </c:pt>
                <c:pt idx="468">
                  <c:v>7376</c:v>
                </c:pt>
                <c:pt idx="469">
                  <c:v>7328</c:v>
                </c:pt>
                <c:pt idx="470">
                  <c:v>7329</c:v>
                </c:pt>
                <c:pt idx="471">
                  <c:v>5099</c:v>
                </c:pt>
                <c:pt idx="472">
                  <c:v>4720</c:v>
                </c:pt>
                <c:pt idx="473">
                  <c:v>4567</c:v>
                </c:pt>
                <c:pt idx="474">
                  <c:v>4432</c:v>
                </c:pt>
                <c:pt idx="475">
                  <c:v>4437</c:v>
                </c:pt>
                <c:pt idx="476">
                  <c:v>4451</c:v>
                </c:pt>
                <c:pt idx="477">
                  <c:v>4430</c:v>
                </c:pt>
                <c:pt idx="478">
                  <c:v>3981</c:v>
                </c:pt>
                <c:pt idx="479">
                  <c:v>4018</c:v>
                </c:pt>
                <c:pt idx="480">
                  <c:v>4041</c:v>
                </c:pt>
                <c:pt idx="481">
                  <c:v>4054</c:v>
                </c:pt>
                <c:pt idx="482">
                  <c:v>4074</c:v>
                </c:pt>
                <c:pt idx="483">
                  <c:v>3994</c:v>
                </c:pt>
                <c:pt idx="484">
                  <c:v>3842</c:v>
                </c:pt>
                <c:pt idx="485">
                  <c:v>4181</c:v>
                </c:pt>
                <c:pt idx="486">
                  <c:v>4214</c:v>
                </c:pt>
                <c:pt idx="487">
                  <c:v>4147</c:v>
                </c:pt>
                <c:pt idx="488">
                  <c:v>4063</c:v>
                </c:pt>
                <c:pt idx="489">
                  <c:v>3989</c:v>
                </c:pt>
                <c:pt idx="490">
                  <c:v>4050</c:v>
                </c:pt>
                <c:pt idx="491">
                  <c:v>3934</c:v>
                </c:pt>
                <c:pt idx="492">
                  <c:v>3921</c:v>
                </c:pt>
                <c:pt idx="493">
                  <c:v>3897</c:v>
                </c:pt>
                <c:pt idx="494">
                  <c:v>3800</c:v>
                </c:pt>
                <c:pt idx="495">
                  <c:v>3721</c:v>
                </c:pt>
                <c:pt idx="496">
                  <c:v>3641</c:v>
                </c:pt>
                <c:pt idx="497">
                  <c:v>3597</c:v>
                </c:pt>
                <c:pt idx="498">
                  <c:v>3531</c:v>
                </c:pt>
                <c:pt idx="499">
                  <c:v>3361</c:v>
                </c:pt>
                <c:pt idx="500">
                  <c:v>3128</c:v>
                </c:pt>
                <c:pt idx="501">
                  <c:v>3111</c:v>
                </c:pt>
                <c:pt idx="502">
                  <c:v>3079</c:v>
                </c:pt>
                <c:pt idx="503">
                  <c:v>3115</c:v>
                </c:pt>
                <c:pt idx="504">
                  <c:v>3050</c:v>
                </c:pt>
                <c:pt idx="505">
                  <c:v>2999</c:v>
                </c:pt>
                <c:pt idx="506">
                  <c:v>3005</c:v>
                </c:pt>
                <c:pt idx="507">
                  <c:v>2719</c:v>
                </c:pt>
                <c:pt idx="508">
                  <c:v>2451</c:v>
                </c:pt>
                <c:pt idx="509">
                  <c:v>2529</c:v>
                </c:pt>
                <c:pt idx="510">
                  <c:v>2510</c:v>
                </c:pt>
                <c:pt idx="511">
                  <c:v>2578</c:v>
                </c:pt>
                <c:pt idx="512">
                  <c:v>2632</c:v>
                </c:pt>
                <c:pt idx="513">
                  <c:v>2697</c:v>
                </c:pt>
                <c:pt idx="514">
                  <c:v>2995</c:v>
                </c:pt>
                <c:pt idx="515">
                  <c:v>3264</c:v>
                </c:pt>
                <c:pt idx="516">
                  <c:v>3210</c:v>
                </c:pt>
                <c:pt idx="517">
                  <c:v>3212</c:v>
                </c:pt>
                <c:pt idx="518">
                  <c:v>3177</c:v>
                </c:pt>
                <c:pt idx="519">
                  <c:v>3135</c:v>
                </c:pt>
                <c:pt idx="520">
                  <c:v>3184</c:v>
                </c:pt>
                <c:pt idx="521">
                  <c:v>3449</c:v>
                </c:pt>
                <c:pt idx="522">
                  <c:v>3376</c:v>
                </c:pt>
                <c:pt idx="523">
                  <c:v>3363</c:v>
                </c:pt>
                <c:pt idx="524">
                  <c:v>3247</c:v>
                </c:pt>
                <c:pt idx="525">
                  <c:v>3231</c:v>
                </c:pt>
                <c:pt idx="526">
                  <c:v>3338</c:v>
                </c:pt>
                <c:pt idx="527">
                  <c:v>3192</c:v>
                </c:pt>
                <c:pt idx="528">
                  <c:v>2865</c:v>
                </c:pt>
                <c:pt idx="529">
                  <c:v>2874</c:v>
                </c:pt>
                <c:pt idx="530">
                  <c:v>2730</c:v>
                </c:pt>
                <c:pt idx="531">
                  <c:v>2655</c:v>
                </c:pt>
                <c:pt idx="532">
                  <c:v>2657</c:v>
                </c:pt>
                <c:pt idx="533">
                  <c:v>2556</c:v>
                </c:pt>
                <c:pt idx="534">
                  <c:v>2556</c:v>
                </c:pt>
                <c:pt idx="535">
                  <c:v>2556</c:v>
                </c:pt>
                <c:pt idx="536">
                  <c:v>2433</c:v>
                </c:pt>
                <c:pt idx="537">
                  <c:v>2513</c:v>
                </c:pt>
                <c:pt idx="538">
                  <c:v>2534</c:v>
                </c:pt>
                <c:pt idx="539">
                  <c:v>2531</c:v>
                </c:pt>
                <c:pt idx="540">
                  <c:v>2199</c:v>
                </c:pt>
                <c:pt idx="541">
                  <c:v>2194</c:v>
                </c:pt>
                <c:pt idx="542">
                  <c:v>2171</c:v>
                </c:pt>
                <c:pt idx="543">
                  <c:v>2186</c:v>
                </c:pt>
                <c:pt idx="544">
                  <c:v>2123</c:v>
                </c:pt>
                <c:pt idx="545">
                  <c:v>2181</c:v>
                </c:pt>
                <c:pt idx="546">
                  <c:v>2215</c:v>
                </c:pt>
                <c:pt idx="547">
                  <c:v>2422</c:v>
                </c:pt>
                <c:pt idx="548">
                  <c:v>2394</c:v>
                </c:pt>
                <c:pt idx="549">
                  <c:v>2353</c:v>
                </c:pt>
                <c:pt idx="550">
                  <c:v>2374</c:v>
                </c:pt>
                <c:pt idx="551">
                  <c:v>2360</c:v>
                </c:pt>
                <c:pt idx="552">
                  <c:v>2304</c:v>
                </c:pt>
                <c:pt idx="553">
                  <c:v>2274</c:v>
                </c:pt>
                <c:pt idx="554">
                  <c:v>2342</c:v>
                </c:pt>
                <c:pt idx="555">
                  <c:v>2346</c:v>
                </c:pt>
                <c:pt idx="556">
                  <c:v>2551</c:v>
                </c:pt>
                <c:pt idx="557">
                  <c:v>2522</c:v>
                </c:pt>
                <c:pt idx="558">
                  <c:v>2536</c:v>
                </c:pt>
                <c:pt idx="559">
                  <c:v>2579</c:v>
                </c:pt>
                <c:pt idx="560">
                  <c:v>2568</c:v>
                </c:pt>
                <c:pt idx="561">
                  <c:v>2542</c:v>
                </c:pt>
                <c:pt idx="562">
                  <c:v>2565</c:v>
                </c:pt>
                <c:pt idx="563">
                  <c:v>2542</c:v>
                </c:pt>
                <c:pt idx="564">
                  <c:v>2561</c:v>
                </c:pt>
                <c:pt idx="565">
                  <c:v>2567</c:v>
                </c:pt>
                <c:pt idx="566">
                  <c:v>2561</c:v>
                </c:pt>
                <c:pt idx="567">
                  <c:v>2573</c:v>
                </c:pt>
                <c:pt idx="568">
                  <c:v>2645</c:v>
                </c:pt>
                <c:pt idx="569">
                  <c:v>2810</c:v>
                </c:pt>
                <c:pt idx="570">
                  <c:v>2702</c:v>
                </c:pt>
                <c:pt idx="571">
                  <c:v>2833</c:v>
                </c:pt>
                <c:pt idx="572">
                  <c:v>2865</c:v>
                </c:pt>
                <c:pt idx="573">
                  <c:v>2856</c:v>
                </c:pt>
                <c:pt idx="574">
                  <c:v>2886</c:v>
                </c:pt>
                <c:pt idx="575">
                  <c:v>2826</c:v>
                </c:pt>
                <c:pt idx="576">
                  <c:v>2802</c:v>
                </c:pt>
                <c:pt idx="577">
                  <c:v>2851</c:v>
                </c:pt>
                <c:pt idx="578">
                  <c:v>2775</c:v>
                </c:pt>
                <c:pt idx="579">
                  <c:v>2657</c:v>
                </c:pt>
                <c:pt idx="580">
                  <c:v>2760</c:v>
                </c:pt>
                <c:pt idx="581">
                  <c:v>2729</c:v>
                </c:pt>
                <c:pt idx="582">
                  <c:v>2768</c:v>
                </c:pt>
                <c:pt idx="583">
                  <c:v>2650</c:v>
                </c:pt>
                <c:pt idx="584">
                  <c:v>2733</c:v>
                </c:pt>
                <c:pt idx="585">
                  <c:v>2725</c:v>
                </c:pt>
                <c:pt idx="586">
                  <c:v>2844</c:v>
                </c:pt>
                <c:pt idx="587">
                  <c:v>2762</c:v>
                </c:pt>
                <c:pt idx="588">
                  <c:v>2749</c:v>
                </c:pt>
                <c:pt idx="589">
                  <c:v>2782</c:v>
                </c:pt>
                <c:pt idx="590">
                  <c:v>2788</c:v>
                </c:pt>
                <c:pt idx="591">
                  <c:v>2738</c:v>
                </c:pt>
                <c:pt idx="592">
                  <c:v>2837</c:v>
                </c:pt>
                <c:pt idx="593">
                  <c:v>2871</c:v>
                </c:pt>
                <c:pt idx="594">
                  <c:v>2833</c:v>
                </c:pt>
                <c:pt idx="595">
                  <c:v>2899</c:v>
                </c:pt>
                <c:pt idx="596">
                  <c:v>2877</c:v>
                </c:pt>
                <c:pt idx="597">
                  <c:v>2937</c:v>
                </c:pt>
                <c:pt idx="598">
                  <c:v>2816</c:v>
                </c:pt>
                <c:pt idx="599">
                  <c:v>2747</c:v>
                </c:pt>
                <c:pt idx="600">
                  <c:v>2748</c:v>
                </c:pt>
                <c:pt idx="601">
                  <c:v>2819</c:v>
                </c:pt>
                <c:pt idx="602">
                  <c:v>2789</c:v>
                </c:pt>
                <c:pt idx="603">
                  <c:v>2536</c:v>
                </c:pt>
                <c:pt idx="604">
                  <c:v>2555</c:v>
                </c:pt>
                <c:pt idx="605">
                  <c:v>2660</c:v>
                </c:pt>
                <c:pt idx="606">
                  <c:v>2758</c:v>
                </c:pt>
                <c:pt idx="607">
                  <c:v>2818</c:v>
                </c:pt>
                <c:pt idx="608">
                  <c:v>2834</c:v>
                </c:pt>
                <c:pt idx="609">
                  <c:v>2842</c:v>
                </c:pt>
                <c:pt idx="610">
                  <c:v>3223</c:v>
                </c:pt>
                <c:pt idx="611">
                  <c:v>3351</c:v>
                </c:pt>
                <c:pt idx="612">
                  <c:v>3422</c:v>
                </c:pt>
                <c:pt idx="613">
                  <c:v>3419</c:v>
                </c:pt>
                <c:pt idx="614">
                  <c:v>3434</c:v>
                </c:pt>
                <c:pt idx="615">
                  <c:v>3482</c:v>
                </c:pt>
                <c:pt idx="616">
                  <c:v>3793</c:v>
                </c:pt>
                <c:pt idx="617">
                  <c:v>4071</c:v>
                </c:pt>
                <c:pt idx="618">
                  <c:v>4198</c:v>
                </c:pt>
                <c:pt idx="619">
                  <c:v>4448</c:v>
                </c:pt>
                <c:pt idx="620">
                  <c:v>4852</c:v>
                </c:pt>
                <c:pt idx="621">
                  <c:v>5232</c:v>
                </c:pt>
                <c:pt idx="622">
                  <c:v>5553</c:v>
                </c:pt>
                <c:pt idx="623">
                  <c:v>5586</c:v>
                </c:pt>
                <c:pt idx="624">
                  <c:v>5585</c:v>
                </c:pt>
                <c:pt idx="625">
                  <c:v>5588</c:v>
                </c:pt>
                <c:pt idx="626">
                  <c:v>5657</c:v>
                </c:pt>
                <c:pt idx="627">
                  <c:v>5568</c:v>
                </c:pt>
                <c:pt idx="628">
                  <c:v>5526</c:v>
                </c:pt>
                <c:pt idx="629">
                  <c:v>5421</c:v>
                </c:pt>
                <c:pt idx="630">
                  <c:v>5388</c:v>
                </c:pt>
                <c:pt idx="631">
                  <c:v>5279</c:v>
                </c:pt>
                <c:pt idx="632">
                  <c:v>5272</c:v>
                </c:pt>
                <c:pt idx="633">
                  <c:v>5159</c:v>
                </c:pt>
                <c:pt idx="634">
                  <c:v>5208</c:v>
                </c:pt>
                <c:pt idx="635">
                  <c:v>5156</c:v>
                </c:pt>
                <c:pt idx="636">
                  <c:v>5307</c:v>
                </c:pt>
                <c:pt idx="637">
                  <c:v>5356</c:v>
                </c:pt>
                <c:pt idx="638">
                  <c:v>5554</c:v>
                </c:pt>
                <c:pt idx="639">
                  <c:v>5657</c:v>
                </c:pt>
                <c:pt idx="640">
                  <c:v>5427</c:v>
                </c:pt>
                <c:pt idx="641">
                  <c:v>5369</c:v>
                </c:pt>
                <c:pt idx="642">
                  <c:v>5391</c:v>
                </c:pt>
                <c:pt idx="643">
                  <c:v>5354</c:v>
                </c:pt>
                <c:pt idx="644">
                  <c:v>5430</c:v>
                </c:pt>
                <c:pt idx="645">
                  <c:v>5246</c:v>
                </c:pt>
                <c:pt idx="646">
                  <c:v>5159</c:v>
                </c:pt>
                <c:pt idx="647">
                  <c:v>5504</c:v>
                </c:pt>
                <c:pt idx="648">
                  <c:v>5732</c:v>
                </c:pt>
                <c:pt idx="649">
                  <c:v>5884</c:v>
                </c:pt>
                <c:pt idx="650">
                  <c:v>5936</c:v>
                </c:pt>
                <c:pt idx="651">
                  <c:v>5867</c:v>
                </c:pt>
                <c:pt idx="652">
                  <c:v>6114</c:v>
                </c:pt>
                <c:pt idx="653">
                  <c:v>6423</c:v>
                </c:pt>
                <c:pt idx="654">
                  <c:v>6631</c:v>
                </c:pt>
                <c:pt idx="655">
                  <c:v>6832</c:v>
                </c:pt>
                <c:pt idx="656">
                  <c:v>7054</c:v>
                </c:pt>
                <c:pt idx="657">
                  <c:v>6893</c:v>
                </c:pt>
                <c:pt idx="658">
                  <c:v>7111</c:v>
                </c:pt>
                <c:pt idx="659">
                  <c:v>8185</c:v>
                </c:pt>
                <c:pt idx="660">
                  <c:v>9806</c:v>
                </c:pt>
                <c:pt idx="661">
                  <c:v>11609</c:v>
                </c:pt>
                <c:pt idx="662">
                  <c:v>13589</c:v>
                </c:pt>
                <c:pt idx="663">
                  <c:v>15072</c:v>
                </c:pt>
                <c:pt idx="664">
                  <c:v>16039</c:v>
                </c:pt>
                <c:pt idx="665">
                  <c:v>17470</c:v>
                </c:pt>
                <c:pt idx="666">
                  <c:v>21514</c:v>
                </c:pt>
                <c:pt idx="667">
                  <c:v>26739</c:v>
                </c:pt>
                <c:pt idx="668">
                  <c:v>33318</c:v>
                </c:pt>
                <c:pt idx="669">
                  <c:v>41902</c:v>
                </c:pt>
                <c:pt idx="670">
                  <c:v>50718</c:v>
                </c:pt>
                <c:pt idx="671">
                  <c:v>62290</c:v>
                </c:pt>
                <c:pt idx="672">
                  <c:v>67031</c:v>
                </c:pt>
                <c:pt idx="673">
                  <c:v>82035</c:v>
                </c:pt>
                <c:pt idx="674">
                  <c:v>94237</c:v>
                </c:pt>
                <c:pt idx="675">
                  <c:v>108168</c:v>
                </c:pt>
                <c:pt idx="676">
                  <c:v>121248</c:v>
                </c:pt>
                <c:pt idx="677">
                  <c:v>135494</c:v>
                </c:pt>
                <c:pt idx="678">
                  <c:v>145121</c:v>
                </c:pt>
                <c:pt idx="679">
                  <c:v>148262</c:v>
                </c:pt>
                <c:pt idx="680">
                  <c:v>155126</c:v>
                </c:pt>
                <c:pt idx="681">
                  <c:v>161802</c:v>
                </c:pt>
                <c:pt idx="682">
                  <c:v>165702</c:v>
                </c:pt>
                <c:pt idx="683">
                  <c:v>166076</c:v>
                </c:pt>
                <c:pt idx="684">
                  <c:v>165878</c:v>
                </c:pt>
                <c:pt idx="685">
                  <c:v>165518</c:v>
                </c:pt>
                <c:pt idx="686">
                  <c:v>165592</c:v>
                </c:pt>
                <c:pt idx="687">
                  <c:v>159222</c:v>
                </c:pt>
                <c:pt idx="688">
                  <c:v>153142</c:v>
                </c:pt>
                <c:pt idx="689">
                  <c:v>144935</c:v>
                </c:pt>
                <c:pt idx="690">
                  <c:v>134158</c:v>
                </c:pt>
                <c:pt idx="691">
                  <c:v>118595</c:v>
                </c:pt>
                <c:pt idx="692">
                  <c:v>104293</c:v>
                </c:pt>
                <c:pt idx="693">
                  <c:v>97390</c:v>
                </c:pt>
                <c:pt idx="694">
                  <c:v>85458</c:v>
                </c:pt>
                <c:pt idx="695">
                  <c:v>71893</c:v>
                </c:pt>
                <c:pt idx="696">
                  <c:v>59502</c:v>
                </c:pt>
                <c:pt idx="697">
                  <c:v>51134</c:v>
                </c:pt>
                <c:pt idx="698">
                  <c:v>46506</c:v>
                </c:pt>
                <c:pt idx="699">
                  <c:v>43026</c:v>
                </c:pt>
                <c:pt idx="700">
                  <c:v>41440</c:v>
                </c:pt>
                <c:pt idx="701">
                  <c:v>35615</c:v>
                </c:pt>
                <c:pt idx="702">
                  <c:v>32406</c:v>
                </c:pt>
                <c:pt idx="703">
                  <c:v>31381</c:v>
                </c:pt>
                <c:pt idx="704">
                  <c:v>30516</c:v>
                </c:pt>
                <c:pt idx="705">
                  <c:v>29307</c:v>
                </c:pt>
                <c:pt idx="706">
                  <c:v>29083</c:v>
                </c:pt>
                <c:pt idx="707">
                  <c:v>28215</c:v>
                </c:pt>
                <c:pt idx="708">
                  <c:v>28016</c:v>
                </c:pt>
                <c:pt idx="709">
                  <c:v>28577</c:v>
                </c:pt>
                <c:pt idx="710">
                  <c:v>26971</c:v>
                </c:pt>
                <c:pt idx="711">
                  <c:v>25472</c:v>
                </c:pt>
                <c:pt idx="712">
                  <c:v>23276</c:v>
                </c:pt>
                <c:pt idx="713">
                  <c:v>20087</c:v>
                </c:pt>
                <c:pt idx="714">
                  <c:v>19881</c:v>
                </c:pt>
                <c:pt idx="715">
                  <c:v>16929</c:v>
                </c:pt>
                <c:pt idx="716">
                  <c:v>13089</c:v>
                </c:pt>
                <c:pt idx="717">
                  <c:v>9593</c:v>
                </c:pt>
                <c:pt idx="718">
                  <c:v>6729</c:v>
                </c:pt>
                <c:pt idx="719">
                  <c:v>6049</c:v>
                </c:pt>
                <c:pt idx="720">
                  <c:v>6067</c:v>
                </c:pt>
                <c:pt idx="721">
                  <c:v>5864</c:v>
                </c:pt>
                <c:pt idx="722">
                  <c:v>5559</c:v>
                </c:pt>
                <c:pt idx="723">
                  <c:v>5518</c:v>
                </c:pt>
                <c:pt idx="724">
                  <c:v>5755</c:v>
                </c:pt>
                <c:pt idx="725">
                  <c:v>5570</c:v>
                </c:pt>
                <c:pt idx="726">
                  <c:v>4728</c:v>
                </c:pt>
                <c:pt idx="727">
                  <c:v>3925</c:v>
                </c:pt>
                <c:pt idx="728">
                  <c:v>3629</c:v>
                </c:pt>
                <c:pt idx="729">
                  <c:v>3726</c:v>
                </c:pt>
                <c:pt idx="730">
                  <c:v>3522</c:v>
                </c:pt>
                <c:pt idx="731">
                  <c:v>3118</c:v>
                </c:pt>
                <c:pt idx="732">
                  <c:v>2754</c:v>
                </c:pt>
                <c:pt idx="733">
                  <c:v>2540</c:v>
                </c:pt>
                <c:pt idx="734">
                  <c:v>2265</c:v>
                </c:pt>
                <c:pt idx="735">
                  <c:v>2278</c:v>
                </c:pt>
                <c:pt idx="736">
                  <c:v>1983</c:v>
                </c:pt>
                <c:pt idx="737">
                  <c:v>1970</c:v>
                </c:pt>
                <c:pt idx="738">
                  <c:v>1769</c:v>
                </c:pt>
                <c:pt idx="739">
                  <c:v>1629</c:v>
                </c:pt>
                <c:pt idx="740">
                  <c:v>1592</c:v>
                </c:pt>
                <c:pt idx="741">
                  <c:v>1618</c:v>
                </c:pt>
                <c:pt idx="742">
                  <c:v>1666</c:v>
                </c:pt>
                <c:pt idx="743">
                  <c:v>1613</c:v>
                </c:pt>
                <c:pt idx="744">
                  <c:v>1370</c:v>
                </c:pt>
                <c:pt idx="745">
                  <c:v>1418</c:v>
                </c:pt>
                <c:pt idx="746">
                  <c:v>1366</c:v>
                </c:pt>
                <c:pt idx="747">
                  <c:v>1364</c:v>
                </c:pt>
                <c:pt idx="748">
                  <c:v>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4-4F64-847E-C77076935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4747600"/>
        <c:axId val="1794759664"/>
      </c:lineChart>
      <c:catAx>
        <c:axId val="179474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94759664"/>
        <c:crosses val="autoZero"/>
        <c:auto val="1"/>
        <c:lblAlgn val="ctr"/>
        <c:lblOffset val="100"/>
        <c:noMultiLvlLbl val="0"/>
      </c:catAx>
      <c:valAx>
        <c:axId val="179475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9474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249815</xdr:colOff>
      <xdr:row>0</xdr:row>
      <xdr:rowOff>219076</xdr:rowOff>
    </xdr:from>
    <xdr:to>
      <xdr:col>47</xdr:col>
      <xdr:colOff>360651</xdr:colOff>
      <xdr:row>26</xdr:row>
      <xdr:rowOff>169786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C8681B1-8F3B-414E-873E-CD192E34D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548986</xdr:colOff>
      <xdr:row>27</xdr:row>
      <xdr:rowOff>232930</xdr:rowOff>
    </xdr:from>
    <xdr:to>
      <xdr:col>45</xdr:col>
      <xdr:colOff>606136</xdr:colOff>
      <xdr:row>55</xdr:row>
      <xdr:rowOff>13855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D0C367A-9A6D-4918-B392-09B8CD30B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0"/>
  <sheetViews>
    <sheetView tabSelected="1" zoomScaleNormal="100" workbookViewId="0">
      <selection activeCell="M1" sqref="M1"/>
    </sheetView>
  </sheetViews>
  <sheetFormatPr baseColWidth="10" defaultColWidth="9.140625" defaultRowHeight="18" x14ac:dyDescent="0.25"/>
  <cols>
    <col min="1" max="1" width="5.140625" style="3" bestFit="1" customWidth="1"/>
    <col min="2" max="2" width="12.7109375" style="4" bestFit="1" customWidth="1"/>
    <col min="3" max="3" width="15.28515625" style="2" bestFit="1" customWidth="1"/>
    <col min="4" max="5" width="9" style="2" customWidth="1"/>
    <col min="6" max="6" width="11.5703125" style="2" bestFit="1" customWidth="1"/>
    <col min="7" max="7" width="15.42578125" style="2" bestFit="1" customWidth="1"/>
    <col min="8" max="8" width="15.5703125" style="2" bestFit="1" customWidth="1"/>
    <col min="9" max="9" width="15.85546875" style="2" bestFit="1" customWidth="1"/>
    <col min="10" max="10" width="4.42578125" style="2" customWidth="1"/>
    <col min="11" max="11" width="4.7109375" style="2" customWidth="1"/>
    <col min="12" max="12" width="14" style="2" customWidth="1"/>
    <col min="13" max="13" width="5" style="2" customWidth="1"/>
    <col min="14" max="14" width="6" style="2" customWidth="1"/>
    <col min="15" max="15" width="12.7109375" style="2" bestFit="1" customWidth="1"/>
    <col min="16" max="16" width="15.28515625" style="2" bestFit="1" customWidth="1"/>
    <col min="17" max="18" width="9.140625" style="2"/>
    <col min="19" max="19" width="10.28515625" style="2" bestFit="1" customWidth="1"/>
    <col min="20" max="20" width="19.5703125" style="2" bestFit="1" customWidth="1"/>
    <col min="21" max="21" width="18" style="2" customWidth="1"/>
    <col min="22" max="22" width="9.5703125" style="2" customWidth="1"/>
    <col min="23" max="16384" width="9.140625" style="2"/>
  </cols>
  <sheetData>
    <row r="1" spans="1:21" ht="90" x14ac:dyDescent="0.25">
      <c r="A1" s="8" t="s">
        <v>2</v>
      </c>
      <c r="B1" s="8" t="s">
        <v>0</v>
      </c>
      <c r="C1" s="9" t="s">
        <v>1</v>
      </c>
      <c r="D1" s="10" t="s">
        <v>4</v>
      </c>
      <c r="E1" s="11" t="s">
        <v>3</v>
      </c>
      <c r="F1" s="11" t="s">
        <v>5</v>
      </c>
      <c r="G1" s="12" t="s">
        <v>7</v>
      </c>
      <c r="H1" s="12" t="s">
        <v>9</v>
      </c>
      <c r="I1" s="12" t="s">
        <v>8</v>
      </c>
      <c r="J1" s="1"/>
      <c r="L1" s="17" t="s">
        <v>6</v>
      </c>
      <c r="N1" s="8" t="s">
        <v>2</v>
      </c>
      <c r="O1" s="8" t="s">
        <v>0</v>
      </c>
      <c r="P1" s="9" t="s">
        <v>1</v>
      </c>
      <c r="Q1" s="10" t="s">
        <v>4</v>
      </c>
      <c r="R1" s="11" t="s">
        <v>3</v>
      </c>
      <c r="S1" s="11" t="s">
        <v>5</v>
      </c>
      <c r="T1" s="12" t="s">
        <v>11</v>
      </c>
      <c r="U1" s="12" t="s">
        <v>10</v>
      </c>
    </row>
    <row r="2" spans="1:21" x14ac:dyDescent="0.25">
      <c r="A2" s="5">
        <v>1</v>
      </c>
      <c r="B2" s="6">
        <v>43896</v>
      </c>
      <c r="C2" s="7">
        <v>1</v>
      </c>
      <c r="D2" s="7">
        <f>C2</f>
        <v>1</v>
      </c>
      <c r="E2" s="7">
        <v>0</v>
      </c>
      <c r="F2" s="7">
        <f>$L$2-SUM(D2,E2)</f>
        <v>10004140</v>
      </c>
      <c r="G2" s="7"/>
      <c r="H2" s="7"/>
      <c r="I2" s="7"/>
      <c r="J2" s="3"/>
      <c r="L2" s="16">
        <v>10004141</v>
      </c>
      <c r="N2" s="7">
        <v>1</v>
      </c>
      <c r="O2" s="6">
        <f t="shared" ref="O2:O9" ca="1" si="0">OFFSET($B$645,15*(MATCH($N2,$N$2:$N$17,0)-1),MATCH(O$1,$O$1:$V$1,0)-1)</f>
        <v>44541</v>
      </c>
      <c r="P2" s="7">
        <f t="shared" ref="P2:T9" ca="1" si="1">VLOOKUP($O2,BASE_DATOS,MATCH(C$1,$B$1:$I$1,0),0)</f>
        <v>790</v>
      </c>
      <c r="Q2" s="7">
        <f t="shared" ca="1" si="1"/>
        <v>5354</v>
      </c>
      <c r="R2" s="7">
        <f t="shared" ca="1" si="1"/>
        <v>43889</v>
      </c>
      <c r="S2" s="7">
        <f t="shared" ca="1" si="1"/>
        <v>9954898</v>
      </c>
      <c r="T2" s="7">
        <f t="shared" ca="1" si="1"/>
        <v>0.16924319622219461</v>
      </c>
      <c r="U2" s="7">
        <f t="shared" ref="U2:U9" ca="1" si="2">VLOOKUP($O2,BASE_DATOS,MATCH(H$1,$B$1:$I$1,0)+1,0)</f>
        <v>7.1691192031539683E-3</v>
      </c>
    </row>
    <row r="3" spans="1:21" x14ac:dyDescent="0.25">
      <c r="A3" s="5">
        <v>2</v>
      </c>
      <c r="B3" s="6">
        <v>43897</v>
      </c>
      <c r="C3" s="7">
        <v>4</v>
      </c>
      <c r="D3" s="7">
        <f t="shared" ref="D3:D8" si="3">C3+D2</f>
        <v>5</v>
      </c>
      <c r="E3" s="7">
        <v>0</v>
      </c>
      <c r="F3" s="7">
        <f>$L$2-SUM(D3,E3)</f>
        <v>10004136</v>
      </c>
      <c r="G3" s="7"/>
      <c r="H3" s="7"/>
      <c r="I3" s="7"/>
      <c r="N3" s="7">
        <v>2</v>
      </c>
      <c r="O3" s="6">
        <f t="shared" ca="1" si="0"/>
        <v>44556</v>
      </c>
      <c r="P3" s="7">
        <f t="shared" ca="1" si="1"/>
        <v>768</v>
      </c>
      <c r="Q3" s="7">
        <f t="shared" ca="1" si="1"/>
        <v>7111</v>
      </c>
      <c r="R3" s="7">
        <f t="shared" ca="1" si="1"/>
        <v>50471</v>
      </c>
      <c r="S3" s="7">
        <f t="shared" ca="1" si="1"/>
        <v>9946559</v>
      </c>
      <c r="T3" s="7">
        <f t="shared" ca="1" si="1"/>
        <v>0.94681264504380458</v>
      </c>
      <c r="U3" s="7">
        <f t="shared" ca="1" si="2"/>
        <v>6.9006535602361757E-3</v>
      </c>
    </row>
    <row r="4" spans="1:21" x14ac:dyDescent="0.25">
      <c r="A4" s="5">
        <v>3</v>
      </c>
      <c r="B4" s="6">
        <v>43898</v>
      </c>
      <c r="C4" s="7">
        <v>2</v>
      </c>
      <c r="D4" s="7">
        <f t="shared" si="3"/>
        <v>7</v>
      </c>
      <c r="E4" s="7">
        <v>0</v>
      </c>
      <c r="F4" s="7">
        <f>$L$2-SUM(D4,E4)</f>
        <v>10004134</v>
      </c>
      <c r="G4" s="7"/>
      <c r="H4" s="7"/>
      <c r="I4" s="7"/>
      <c r="N4" s="7">
        <v>3</v>
      </c>
      <c r="O4" s="6">
        <f t="shared" ca="1" si="0"/>
        <v>44571</v>
      </c>
      <c r="P4" s="7">
        <f t="shared" ca="1" si="1"/>
        <v>21157</v>
      </c>
      <c r="Q4" s="7">
        <f t="shared" ca="1" si="1"/>
        <v>82035</v>
      </c>
      <c r="R4" s="7">
        <f t="shared" ca="1" si="1"/>
        <v>75204</v>
      </c>
      <c r="S4" s="7">
        <f t="shared" ca="1" si="1"/>
        <v>9846902</v>
      </c>
      <c r="T4" s="7">
        <f t="shared" ca="1" si="1"/>
        <v>0.83377444438645798</v>
      </c>
      <c r="U4" s="7">
        <f t="shared" ca="1" si="2"/>
        <v>2.8984720146853428E-3</v>
      </c>
    </row>
    <row r="5" spans="1:21" x14ac:dyDescent="0.25">
      <c r="A5" s="5">
        <v>4</v>
      </c>
      <c r="B5" s="6">
        <v>43899</v>
      </c>
      <c r="C5" s="7">
        <v>1</v>
      </c>
      <c r="D5" s="7">
        <f t="shared" si="3"/>
        <v>8</v>
      </c>
      <c r="E5" s="7">
        <v>0</v>
      </c>
      <c r="F5" s="7">
        <f>$L$2-SUM(D5,E5)</f>
        <v>10004133</v>
      </c>
      <c r="G5" s="7"/>
      <c r="H5" s="7"/>
      <c r="I5" s="7"/>
      <c r="N5" s="7">
        <v>4</v>
      </c>
      <c r="O5" s="6">
        <f t="shared" ca="1" si="0"/>
        <v>44586</v>
      </c>
      <c r="P5" s="7">
        <f t="shared" ca="1" si="1"/>
        <v>20717</v>
      </c>
      <c r="Q5" s="7">
        <f t="shared" ca="1" si="1"/>
        <v>153142</v>
      </c>
      <c r="R5" s="7">
        <f t="shared" ca="1" si="1"/>
        <v>333235</v>
      </c>
      <c r="S5" s="7">
        <f t="shared" ca="1" si="1"/>
        <v>9517764</v>
      </c>
      <c r="T5" s="7">
        <f t="shared" ca="1" si="1"/>
        <v>5.8432862923297753E-2</v>
      </c>
      <c r="U5" s="7">
        <f t="shared" ca="1" si="2"/>
        <v>8.814315551970923E-4</v>
      </c>
    </row>
    <row r="6" spans="1:21" x14ac:dyDescent="0.25">
      <c r="A6" s="5">
        <v>5</v>
      </c>
      <c r="B6" s="6">
        <v>43900</v>
      </c>
      <c r="C6" s="7">
        <v>1</v>
      </c>
      <c r="D6" s="7">
        <f t="shared" si="3"/>
        <v>9</v>
      </c>
      <c r="E6" s="7">
        <v>0</v>
      </c>
      <c r="F6" s="7">
        <f>$L$2-SUM(D6,E6)</f>
        <v>10004132</v>
      </c>
      <c r="G6" s="7"/>
      <c r="H6" s="7"/>
      <c r="I6" s="7"/>
      <c r="N6" s="7">
        <v>5</v>
      </c>
      <c r="O6" s="6">
        <f t="shared" ca="1" si="0"/>
        <v>44601</v>
      </c>
      <c r="P6" s="7">
        <f t="shared" ca="1" si="1"/>
        <v>5663</v>
      </c>
      <c r="Q6" s="7">
        <f t="shared" ca="1" si="1"/>
        <v>31381</v>
      </c>
      <c r="R6" s="7">
        <f t="shared" ca="1" si="1"/>
        <v>558940</v>
      </c>
      <c r="S6" s="7">
        <f t="shared" ca="1" si="1"/>
        <v>9413820</v>
      </c>
      <c r="T6" s="7">
        <f t="shared" ca="1" si="1"/>
        <v>3.4626685024022281E-2</v>
      </c>
      <c r="U6" s="7">
        <f t="shared" ca="1" si="2"/>
        <v>9.9799698030263325E-4</v>
      </c>
    </row>
    <row r="7" spans="1:21" x14ac:dyDescent="0.25">
      <c r="A7" s="5">
        <v>6</v>
      </c>
      <c r="B7" s="6">
        <v>43901</v>
      </c>
      <c r="C7" s="7">
        <v>6</v>
      </c>
      <c r="D7" s="7">
        <f t="shared" si="3"/>
        <v>15</v>
      </c>
      <c r="E7" s="7">
        <v>0</v>
      </c>
      <c r="F7" s="7">
        <f>$L$2-SUM(D7,E7)</f>
        <v>10004126</v>
      </c>
      <c r="G7" s="7"/>
      <c r="H7" s="7"/>
      <c r="I7" s="7"/>
      <c r="N7" s="7">
        <v>6</v>
      </c>
      <c r="O7" s="6">
        <f t="shared" ca="1" si="0"/>
        <v>44616</v>
      </c>
      <c r="P7" s="7">
        <f t="shared" ca="1" si="1"/>
        <v>919</v>
      </c>
      <c r="Q7" s="7">
        <f t="shared" ca="1" si="1"/>
        <v>6729</v>
      </c>
      <c r="R7" s="7">
        <f t="shared" ca="1" si="1"/>
        <v>611899</v>
      </c>
      <c r="S7" s="7">
        <f t="shared" ca="1" si="1"/>
        <v>9385513</v>
      </c>
      <c r="T7" s="7">
        <f t="shared" ca="1" si="1"/>
        <v>2.5647002022791784E-2</v>
      </c>
      <c r="U7" s="7">
        <f t="shared" ca="1" si="2"/>
        <v>1.2592528930094578E-3</v>
      </c>
    </row>
    <row r="8" spans="1:21" x14ac:dyDescent="0.25">
      <c r="A8" s="5">
        <v>7</v>
      </c>
      <c r="B8" s="6">
        <v>43902</v>
      </c>
      <c r="C8" s="7">
        <v>8</v>
      </c>
      <c r="D8" s="7">
        <f t="shared" si="3"/>
        <v>23</v>
      </c>
      <c r="E8" s="7">
        <v>0</v>
      </c>
      <c r="F8" s="7">
        <f>$L$2-SUM(D8,E8)</f>
        <v>10004118</v>
      </c>
      <c r="G8" s="7"/>
      <c r="H8" s="7"/>
      <c r="I8" s="7"/>
      <c r="N8" s="7">
        <v>7</v>
      </c>
      <c r="O8" s="6">
        <f t="shared" ca="1" si="0"/>
        <v>44631</v>
      </c>
      <c r="P8" s="7">
        <f t="shared" ca="1" si="1"/>
        <v>222</v>
      </c>
      <c r="Q8" s="7">
        <f t="shared" ca="1" si="1"/>
        <v>2540</v>
      </c>
      <c r="R8" s="7">
        <f t="shared" ca="1" si="1"/>
        <v>613125</v>
      </c>
      <c r="S8" s="7">
        <f t="shared" ca="1" si="1"/>
        <v>9388476</v>
      </c>
      <c r="T8" s="7">
        <f t="shared" ca="1" si="1"/>
        <v>4.3826624191524277E-2</v>
      </c>
      <c r="U8" s="7">
        <f t="shared" ca="1" si="2"/>
        <v>1.3245666056468249E-3</v>
      </c>
    </row>
    <row r="9" spans="1:21" x14ac:dyDescent="0.25">
      <c r="A9" s="5">
        <v>8</v>
      </c>
      <c r="B9" s="6">
        <v>43903</v>
      </c>
      <c r="C9" s="7">
        <v>9</v>
      </c>
      <c r="D9" s="7">
        <f t="shared" ref="D9:D72" si="4">SUM(C3:C9)</f>
        <v>31</v>
      </c>
      <c r="E9" s="7">
        <f>D2</f>
        <v>1</v>
      </c>
      <c r="F9" s="7">
        <f>$L$2-SUM(D9,E9)</f>
        <v>10004109</v>
      </c>
      <c r="G9" s="7"/>
      <c r="H9" s="7"/>
      <c r="I9" s="7"/>
      <c r="N9" s="7">
        <v>8</v>
      </c>
      <c r="O9" s="6">
        <f t="shared" ca="1" si="0"/>
        <v>44646</v>
      </c>
      <c r="P9" s="7">
        <f t="shared" ca="1" si="1"/>
        <v>184</v>
      </c>
      <c r="Q9" s="7">
        <f t="shared" ca="1" si="1"/>
        <v>1290</v>
      </c>
      <c r="R9" s="7">
        <f t="shared" ca="1" si="1"/>
        <v>605675</v>
      </c>
      <c r="S9" s="7">
        <f t="shared" ca="1" si="1"/>
        <v>9397176</v>
      </c>
      <c r="T9" s="7">
        <f t="shared" ca="1" si="1"/>
        <v>6.9588896032676522E-3</v>
      </c>
      <c r="U9" s="7">
        <f t="shared" ca="1" si="2"/>
        <v>9.0807776447764891E-4</v>
      </c>
    </row>
    <row r="10" spans="1:21" x14ac:dyDescent="0.25">
      <c r="A10" s="5">
        <v>9</v>
      </c>
      <c r="B10" s="6">
        <v>43904</v>
      </c>
      <c r="C10" s="7">
        <v>15</v>
      </c>
      <c r="D10" s="7">
        <f t="shared" si="4"/>
        <v>42</v>
      </c>
      <c r="E10" s="7">
        <f>C3+E9</f>
        <v>5</v>
      </c>
      <c r="F10" s="7">
        <f>$L$2-SUM(D10,E10)</f>
        <v>10004094</v>
      </c>
      <c r="G10" s="7"/>
      <c r="H10" s="7"/>
      <c r="I10" s="7"/>
    </row>
    <row r="11" spans="1:21" x14ac:dyDescent="0.25">
      <c r="A11" s="5">
        <v>10</v>
      </c>
      <c r="B11" s="6">
        <v>43905</v>
      </c>
      <c r="C11" s="7">
        <v>22</v>
      </c>
      <c r="D11" s="7">
        <f t="shared" si="4"/>
        <v>62</v>
      </c>
      <c r="E11" s="7">
        <f>C4+E10</f>
        <v>7</v>
      </c>
      <c r="F11" s="7">
        <f>$L$2-SUM(D11,E11)</f>
        <v>10004072</v>
      </c>
      <c r="G11" s="7"/>
      <c r="H11" s="7"/>
      <c r="I11" s="7"/>
    </row>
    <row r="12" spans="1:21" x14ac:dyDescent="0.25">
      <c r="A12" s="5">
        <v>11</v>
      </c>
      <c r="B12" s="6">
        <v>43906</v>
      </c>
      <c r="C12" s="7">
        <v>15</v>
      </c>
      <c r="D12" s="7">
        <f t="shared" si="4"/>
        <v>76</v>
      </c>
      <c r="E12" s="7">
        <f t="shared" ref="E12:E75" si="5">C5+E11</f>
        <v>8</v>
      </c>
      <c r="F12" s="7">
        <f>$L$2-SUM(D12,E12)</f>
        <v>10004057</v>
      </c>
      <c r="G12" s="7"/>
      <c r="H12" s="7"/>
      <c r="I12" s="7"/>
    </row>
    <row r="13" spans="1:21" x14ac:dyDescent="0.25">
      <c r="A13" s="5">
        <v>12</v>
      </c>
      <c r="B13" s="6">
        <v>43907</v>
      </c>
      <c r="C13" s="7">
        <v>16</v>
      </c>
      <c r="D13" s="7">
        <f t="shared" si="4"/>
        <v>91</v>
      </c>
      <c r="E13" s="7">
        <f t="shared" si="5"/>
        <v>9</v>
      </c>
      <c r="F13" s="7">
        <f>$L$2-SUM(D13,E13)</f>
        <v>10004041</v>
      </c>
      <c r="G13" s="7"/>
      <c r="H13" s="7"/>
      <c r="I13" s="7"/>
    </row>
    <row r="14" spans="1:21" x14ac:dyDescent="0.25">
      <c r="A14" s="5">
        <v>13</v>
      </c>
      <c r="B14" s="6">
        <v>43908</v>
      </c>
      <c r="C14" s="7">
        <v>50</v>
      </c>
      <c r="D14" s="7">
        <f t="shared" si="4"/>
        <v>135</v>
      </c>
      <c r="E14" s="7">
        <f t="shared" si="5"/>
        <v>15</v>
      </c>
      <c r="F14" s="7">
        <f>$L$2-SUM(D14,E14)</f>
        <v>10003991</v>
      </c>
      <c r="G14" s="7"/>
      <c r="H14" s="7"/>
      <c r="I14" s="7"/>
    </row>
    <row r="15" spans="1:21" x14ac:dyDescent="0.25">
      <c r="A15" s="5">
        <v>14</v>
      </c>
      <c r="B15" s="6">
        <v>43909</v>
      </c>
      <c r="C15" s="7">
        <v>56</v>
      </c>
      <c r="D15" s="7">
        <f t="shared" si="4"/>
        <v>183</v>
      </c>
      <c r="E15" s="7">
        <f t="shared" si="5"/>
        <v>23</v>
      </c>
      <c r="F15" s="7">
        <f>$L$2-SUM(D15,E15)</f>
        <v>10003935</v>
      </c>
      <c r="G15" s="7"/>
      <c r="H15" s="7"/>
      <c r="I15" s="7"/>
    </row>
    <row r="16" spans="1:21" x14ac:dyDescent="0.25">
      <c r="A16" s="5">
        <v>15</v>
      </c>
      <c r="B16" s="6">
        <v>43910</v>
      </c>
      <c r="C16" s="7">
        <v>26</v>
      </c>
      <c r="D16" s="7">
        <f t="shared" si="4"/>
        <v>200</v>
      </c>
      <c r="E16" s="7">
        <f t="shared" si="5"/>
        <v>32</v>
      </c>
      <c r="F16" s="7">
        <f>$L$2-SUM(D16,E16)</f>
        <v>10003909</v>
      </c>
      <c r="G16" s="7"/>
      <c r="H16" s="7"/>
      <c r="I16" s="7"/>
    </row>
    <row r="17" spans="1:9" x14ac:dyDescent="0.25">
      <c r="A17" s="5">
        <v>16</v>
      </c>
      <c r="B17" s="6">
        <v>43911</v>
      </c>
      <c r="C17" s="7">
        <v>27</v>
      </c>
      <c r="D17" s="7">
        <f t="shared" si="4"/>
        <v>212</v>
      </c>
      <c r="E17" s="7">
        <f t="shared" si="5"/>
        <v>47</v>
      </c>
      <c r="F17" s="7">
        <f>$L$2-SUM(D17,E17)</f>
        <v>10003882</v>
      </c>
      <c r="G17" s="7"/>
      <c r="H17" s="7"/>
      <c r="I17" s="7"/>
    </row>
    <row r="18" spans="1:9" x14ac:dyDescent="0.25">
      <c r="A18" s="5">
        <v>17</v>
      </c>
      <c r="B18" s="6">
        <v>43912</v>
      </c>
      <c r="C18" s="7">
        <v>32</v>
      </c>
      <c r="D18" s="7">
        <f t="shared" si="4"/>
        <v>222</v>
      </c>
      <c r="E18" s="7">
        <f t="shared" si="5"/>
        <v>69</v>
      </c>
      <c r="F18" s="7">
        <f>$L$2-SUM(D18,E18)</f>
        <v>10003850</v>
      </c>
      <c r="G18" s="7"/>
      <c r="H18" s="7"/>
      <c r="I18" s="7"/>
    </row>
    <row r="19" spans="1:9" x14ac:dyDescent="0.25">
      <c r="A19" s="5">
        <v>18</v>
      </c>
      <c r="B19" s="6">
        <v>43913</v>
      </c>
      <c r="C19" s="7">
        <v>26</v>
      </c>
      <c r="D19" s="7">
        <f t="shared" si="4"/>
        <v>233</v>
      </c>
      <c r="E19" s="7">
        <f t="shared" si="5"/>
        <v>84</v>
      </c>
      <c r="F19" s="7">
        <f>$L$2-SUM(D19,E19)</f>
        <v>10003824</v>
      </c>
      <c r="G19" s="7"/>
      <c r="H19" s="7"/>
      <c r="I19" s="7"/>
    </row>
    <row r="20" spans="1:9" x14ac:dyDescent="0.25">
      <c r="A20" s="5">
        <v>19</v>
      </c>
      <c r="B20" s="6">
        <v>43914</v>
      </c>
      <c r="C20" s="7">
        <v>47</v>
      </c>
      <c r="D20" s="7">
        <f t="shared" si="4"/>
        <v>264</v>
      </c>
      <c r="E20" s="7">
        <f t="shared" si="5"/>
        <v>100</v>
      </c>
      <c r="F20" s="7">
        <f>$L$2-SUM(D20,E20)</f>
        <v>10003777</v>
      </c>
      <c r="G20" s="7"/>
      <c r="H20" s="7"/>
      <c r="I20" s="7"/>
    </row>
    <row r="21" spans="1:9" x14ac:dyDescent="0.25">
      <c r="A21" s="5">
        <v>20</v>
      </c>
      <c r="B21" s="6">
        <v>43915</v>
      </c>
      <c r="C21" s="7">
        <v>84</v>
      </c>
      <c r="D21" s="7">
        <f t="shared" si="4"/>
        <v>298</v>
      </c>
      <c r="E21" s="7">
        <f t="shared" si="5"/>
        <v>150</v>
      </c>
      <c r="F21" s="7">
        <f>$L$2-SUM(D21,E21)</f>
        <v>10003693</v>
      </c>
      <c r="G21" s="7"/>
      <c r="H21" s="7"/>
      <c r="I21" s="7"/>
    </row>
    <row r="22" spans="1:9" x14ac:dyDescent="0.25">
      <c r="A22" s="5">
        <v>21</v>
      </c>
      <c r="B22" s="6">
        <v>43916</v>
      </c>
      <c r="C22" s="7">
        <v>38</v>
      </c>
      <c r="D22" s="7">
        <f t="shared" si="4"/>
        <v>280</v>
      </c>
      <c r="E22" s="7">
        <f t="shared" si="5"/>
        <v>206</v>
      </c>
      <c r="F22" s="7">
        <f>$L$2-SUM(D22,E22)</f>
        <v>10003655</v>
      </c>
      <c r="G22" s="7"/>
      <c r="H22" s="7"/>
      <c r="I22" s="7"/>
    </row>
    <row r="23" spans="1:9" x14ac:dyDescent="0.25">
      <c r="A23" s="5">
        <v>22</v>
      </c>
      <c r="B23" s="6">
        <v>43917</v>
      </c>
      <c r="C23" s="7">
        <v>22</v>
      </c>
      <c r="D23" s="7">
        <f t="shared" si="4"/>
        <v>276</v>
      </c>
      <c r="E23" s="7">
        <f t="shared" si="5"/>
        <v>232</v>
      </c>
      <c r="F23" s="7">
        <f>$L$2-SUM(D23,E23)</f>
        <v>10003633</v>
      </c>
      <c r="G23" s="7"/>
      <c r="H23" s="7"/>
      <c r="I23" s="7"/>
    </row>
    <row r="24" spans="1:9" x14ac:dyDescent="0.25">
      <c r="A24" s="5">
        <v>23</v>
      </c>
      <c r="B24" s="6">
        <v>43918</v>
      </c>
      <c r="C24" s="7">
        <v>83</v>
      </c>
      <c r="D24" s="7">
        <f t="shared" si="4"/>
        <v>332</v>
      </c>
      <c r="E24" s="7">
        <f t="shared" si="5"/>
        <v>259</v>
      </c>
      <c r="F24" s="7">
        <f>$L$2-SUM(D24,E24)</f>
        <v>10003550</v>
      </c>
      <c r="G24" s="7"/>
      <c r="H24" s="7"/>
      <c r="I24" s="7"/>
    </row>
    <row r="25" spans="1:9" x14ac:dyDescent="0.25">
      <c r="A25" s="5">
        <v>24</v>
      </c>
      <c r="B25" s="6">
        <v>43919</v>
      </c>
      <c r="C25" s="7">
        <v>107</v>
      </c>
      <c r="D25" s="7">
        <f t="shared" si="4"/>
        <v>407</v>
      </c>
      <c r="E25" s="7">
        <f t="shared" si="5"/>
        <v>291</v>
      </c>
      <c r="F25" s="7">
        <f>$L$2-SUM(D25,E25)</f>
        <v>10003443</v>
      </c>
      <c r="G25" s="7"/>
      <c r="H25" s="7"/>
      <c r="I25" s="7"/>
    </row>
    <row r="26" spans="1:9" x14ac:dyDescent="0.25">
      <c r="A26" s="5">
        <v>25</v>
      </c>
      <c r="B26" s="6">
        <v>43920</v>
      </c>
      <c r="C26" s="7">
        <v>96</v>
      </c>
      <c r="D26" s="7">
        <f t="shared" si="4"/>
        <v>477</v>
      </c>
      <c r="E26" s="7">
        <f t="shared" si="5"/>
        <v>317</v>
      </c>
      <c r="F26" s="7">
        <f>$L$2-SUM(D26,E26)</f>
        <v>10003347</v>
      </c>
      <c r="G26" s="7"/>
      <c r="H26" s="7"/>
      <c r="I26" s="7"/>
    </row>
    <row r="27" spans="1:9" x14ac:dyDescent="0.25">
      <c r="A27" s="5">
        <v>26</v>
      </c>
      <c r="B27" s="6">
        <v>43921</v>
      </c>
      <c r="C27" s="7">
        <v>192</v>
      </c>
      <c r="D27" s="7">
        <f t="shared" si="4"/>
        <v>622</v>
      </c>
      <c r="E27" s="7">
        <f t="shared" si="5"/>
        <v>364</v>
      </c>
      <c r="F27" s="7">
        <f>$L$2-SUM(D27,E27)</f>
        <v>10003155</v>
      </c>
      <c r="G27" s="7"/>
      <c r="H27" s="7"/>
      <c r="I27" s="7"/>
    </row>
    <row r="28" spans="1:9" x14ac:dyDescent="0.25">
      <c r="A28" s="5">
        <v>27</v>
      </c>
      <c r="B28" s="6">
        <v>43922</v>
      </c>
      <c r="C28" s="7">
        <v>61</v>
      </c>
      <c r="D28" s="7">
        <f t="shared" si="4"/>
        <v>599</v>
      </c>
      <c r="E28" s="7">
        <f t="shared" si="5"/>
        <v>448</v>
      </c>
      <c r="F28" s="7">
        <f>$L$2-SUM(D28,E28)</f>
        <v>10003094</v>
      </c>
      <c r="G28" s="7"/>
      <c r="H28" s="7"/>
      <c r="I28" s="7"/>
    </row>
    <row r="29" spans="1:9" x14ac:dyDescent="0.25">
      <c r="A29" s="5">
        <v>28</v>
      </c>
      <c r="B29" s="6">
        <v>43923</v>
      </c>
      <c r="C29" s="7">
        <v>170</v>
      </c>
      <c r="D29" s="7">
        <f t="shared" si="4"/>
        <v>731</v>
      </c>
      <c r="E29" s="7">
        <f t="shared" si="5"/>
        <v>486</v>
      </c>
      <c r="F29" s="7">
        <f>$L$2-SUM(D29,E29)</f>
        <v>10002924</v>
      </c>
      <c r="G29" s="7"/>
      <c r="H29" s="7"/>
      <c r="I29" s="7"/>
    </row>
    <row r="30" spans="1:9" x14ac:dyDescent="0.25">
      <c r="A30" s="5">
        <v>29</v>
      </c>
      <c r="B30" s="6">
        <v>43924</v>
      </c>
      <c r="C30" s="7">
        <v>186</v>
      </c>
      <c r="D30" s="7">
        <f t="shared" si="4"/>
        <v>895</v>
      </c>
      <c r="E30" s="7">
        <f t="shared" si="5"/>
        <v>508</v>
      </c>
      <c r="F30" s="7">
        <f>$L$2-SUM(D30,E30)</f>
        <v>10002738</v>
      </c>
      <c r="G30" s="7"/>
      <c r="H30" s="7"/>
      <c r="I30" s="7"/>
    </row>
    <row r="31" spans="1:9" x14ac:dyDescent="0.25">
      <c r="A31" s="5">
        <v>30</v>
      </c>
      <c r="B31" s="6">
        <v>43925</v>
      </c>
      <c r="C31" s="7">
        <v>501</v>
      </c>
      <c r="D31" s="7">
        <f t="shared" si="4"/>
        <v>1313</v>
      </c>
      <c r="E31" s="7">
        <f t="shared" si="5"/>
        <v>591</v>
      </c>
      <c r="F31" s="7">
        <f>$L$2-SUM(D31,E31)</f>
        <v>10002237</v>
      </c>
      <c r="G31" s="7"/>
      <c r="H31" s="7"/>
      <c r="I31" s="7"/>
    </row>
    <row r="32" spans="1:9" x14ac:dyDescent="0.25">
      <c r="A32" s="5">
        <v>31</v>
      </c>
      <c r="B32" s="6">
        <v>43926</v>
      </c>
      <c r="C32" s="7">
        <v>314</v>
      </c>
      <c r="D32" s="7">
        <f t="shared" si="4"/>
        <v>1520</v>
      </c>
      <c r="E32" s="7">
        <f t="shared" si="5"/>
        <v>698</v>
      </c>
      <c r="F32" s="7">
        <f>$L$2-SUM(D32,E32)</f>
        <v>10001923</v>
      </c>
      <c r="G32" s="7"/>
      <c r="H32" s="7"/>
      <c r="I32" s="7"/>
    </row>
    <row r="33" spans="1:9" x14ac:dyDescent="0.25">
      <c r="A33" s="5">
        <v>32</v>
      </c>
      <c r="B33" s="6">
        <v>43927</v>
      </c>
      <c r="C33" s="7">
        <v>488</v>
      </c>
      <c r="D33" s="7">
        <f t="shared" si="4"/>
        <v>1912</v>
      </c>
      <c r="E33" s="7">
        <f t="shared" si="5"/>
        <v>794</v>
      </c>
      <c r="F33" s="7">
        <f>$L$2-SUM(D33,E33)</f>
        <v>10001435</v>
      </c>
      <c r="G33" s="7"/>
      <c r="H33" s="7"/>
      <c r="I33" s="7"/>
    </row>
    <row r="34" spans="1:9" x14ac:dyDescent="0.25">
      <c r="A34" s="5">
        <v>33</v>
      </c>
      <c r="B34" s="6">
        <v>43928</v>
      </c>
      <c r="C34" s="7">
        <v>633</v>
      </c>
      <c r="D34" s="7">
        <f t="shared" si="4"/>
        <v>2353</v>
      </c>
      <c r="E34" s="7">
        <f t="shared" si="5"/>
        <v>986</v>
      </c>
      <c r="F34" s="7">
        <f>$L$2-SUM(D34,E34)</f>
        <v>10000802</v>
      </c>
      <c r="G34" s="7"/>
      <c r="H34" s="7"/>
      <c r="I34" s="7"/>
    </row>
    <row r="35" spans="1:9" x14ac:dyDescent="0.25">
      <c r="A35" s="5">
        <v>34</v>
      </c>
      <c r="B35" s="6">
        <v>43929</v>
      </c>
      <c r="C35" s="7">
        <v>697</v>
      </c>
      <c r="D35" s="7">
        <f t="shared" si="4"/>
        <v>2989</v>
      </c>
      <c r="E35" s="7">
        <f t="shared" si="5"/>
        <v>1047</v>
      </c>
      <c r="F35" s="7">
        <f>$L$2-SUM(D35,E35)</f>
        <v>10000105</v>
      </c>
      <c r="G35" s="7"/>
      <c r="H35" s="7"/>
      <c r="I35" s="7"/>
    </row>
    <row r="36" spans="1:9" x14ac:dyDescent="0.25">
      <c r="A36" s="5">
        <v>35</v>
      </c>
      <c r="B36" s="6">
        <v>43930</v>
      </c>
      <c r="C36" s="7">
        <v>625</v>
      </c>
      <c r="D36" s="7">
        <f t="shared" si="4"/>
        <v>3444</v>
      </c>
      <c r="E36" s="7">
        <f t="shared" si="5"/>
        <v>1217</v>
      </c>
      <c r="F36" s="7">
        <f>$L$2-SUM(D36,E36)</f>
        <v>9999480</v>
      </c>
      <c r="G36" s="7"/>
      <c r="H36" s="7"/>
      <c r="I36" s="7"/>
    </row>
    <row r="37" spans="1:9" x14ac:dyDescent="0.25">
      <c r="A37" s="5">
        <v>36</v>
      </c>
      <c r="B37" s="6">
        <v>43931</v>
      </c>
      <c r="C37" s="7">
        <v>792</v>
      </c>
      <c r="D37" s="7">
        <f t="shared" si="4"/>
        <v>4050</v>
      </c>
      <c r="E37" s="7">
        <f t="shared" si="5"/>
        <v>1403</v>
      </c>
      <c r="F37" s="7">
        <f>$L$2-SUM(D37,E37)</f>
        <v>9998688</v>
      </c>
      <c r="G37" s="7"/>
      <c r="H37" s="7"/>
      <c r="I37" s="7"/>
    </row>
    <row r="38" spans="1:9" x14ac:dyDescent="0.25">
      <c r="A38" s="5">
        <v>37</v>
      </c>
      <c r="B38" s="6">
        <v>43932</v>
      </c>
      <c r="C38" s="7">
        <v>770</v>
      </c>
      <c r="D38" s="7">
        <f t="shared" si="4"/>
        <v>4319</v>
      </c>
      <c r="E38" s="7">
        <f t="shared" si="5"/>
        <v>1904</v>
      </c>
      <c r="F38" s="7">
        <f>$L$2-SUM(D38,E38)</f>
        <v>9997918</v>
      </c>
      <c r="G38" s="7"/>
      <c r="H38" s="7"/>
      <c r="I38" s="7"/>
    </row>
    <row r="39" spans="1:9" x14ac:dyDescent="0.25">
      <c r="A39" s="5">
        <v>38</v>
      </c>
      <c r="B39" s="6">
        <v>43933</v>
      </c>
      <c r="C39" s="7">
        <v>524</v>
      </c>
      <c r="D39" s="7">
        <f t="shared" si="4"/>
        <v>4529</v>
      </c>
      <c r="E39" s="7">
        <f t="shared" si="5"/>
        <v>2218</v>
      </c>
      <c r="F39" s="7">
        <f>$L$2-SUM(D39,E39)</f>
        <v>9997394</v>
      </c>
      <c r="G39" s="7"/>
      <c r="H39" s="7"/>
      <c r="I39" s="7"/>
    </row>
    <row r="40" spans="1:9" x14ac:dyDescent="0.25">
      <c r="A40" s="5">
        <v>39</v>
      </c>
      <c r="B40" s="6">
        <v>43934</v>
      </c>
      <c r="C40" s="7">
        <v>719</v>
      </c>
      <c r="D40" s="7">
        <f t="shared" si="4"/>
        <v>4760</v>
      </c>
      <c r="E40" s="7">
        <f t="shared" si="5"/>
        <v>2706</v>
      </c>
      <c r="F40" s="7">
        <f>$L$2-SUM(D40,E40)</f>
        <v>9996675</v>
      </c>
      <c r="G40" s="7"/>
      <c r="H40" s="7"/>
      <c r="I40" s="7"/>
    </row>
    <row r="41" spans="1:9" x14ac:dyDescent="0.25">
      <c r="A41" s="5">
        <v>40</v>
      </c>
      <c r="B41" s="6">
        <v>43935</v>
      </c>
      <c r="C41" s="7">
        <v>628</v>
      </c>
      <c r="D41" s="7">
        <f t="shared" si="4"/>
        <v>4755</v>
      </c>
      <c r="E41" s="7">
        <f t="shared" si="5"/>
        <v>3339</v>
      </c>
      <c r="F41" s="7">
        <f>$L$2-SUM(D41,E41)</f>
        <v>9996047</v>
      </c>
      <c r="G41" s="7"/>
      <c r="H41" s="7"/>
      <c r="I41" s="7"/>
    </row>
    <row r="42" spans="1:9" x14ac:dyDescent="0.25">
      <c r="A42" s="5">
        <v>41</v>
      </c>
      <c r="B42" s="6">
        <v>43936</v>
      </c>
      <c r="C42" s="7">
        <v>790</v>
      </c>
      <c r="D42" s="7">
        <f t="shared" si="4"/>
        <v>4848</v>
      </c>
      <c r="E42" s="7">
        <f t="shared" si="5"/>
        <v>4036</v>
      </c>
      <c r="F42" s="7">
        <f>$L$2-SUM(D42,E42)</f>
        <v>9995257</v>
      </c>
      <c r="G42" s="7"/>
      <c r="H42" s="7"/>
      <c r="I42" s="7"/>
    </row>
    <row r="43" spans="1:9" x14ac:dyDescent="0.25">
      <c r="A43" s="5">
        <v>42</v>
      </c>
      <c r="B43" s="6">
        <v>43937</v>
      </c>
      <c r="C43" s="7">
        <v>849</v>
      </c>
      <c r="D43" s="7">
        <f t="shared" si="4"/>
        <v>5072</v>
      </c>
      <c r="E43" s="7">
        <f t="shared" si="5"/>
        <v>4661</v>
      </c>
      <c r="F43" s="7">
        <f>$L$2-SUM(D43,E43)</f>
        <v>9994408</v>
      </c>
      <c r="G43" s="7"/>
      <c r="H43" s="7"/>
      <c r="I43" s="7"/>
    </row>
    <row r="44" spans="1:9" x14ac:dyDescent="0.25">
      <c r="A44" s="5">
        <v>43</v>
      </c>
      <c r="B44" s="6">
        <v>43938</v>
      </c>
      <c r="C44" s="7">
        <v>590</v>
      </c>
      <c r="D44" s="7">
        <f t="shared" si="4"/>
        <v>4870</v>
      </c>
      <c r="E44" s="7">
        <f t="shared" si="5"/>
        <v>5453</v>
      </c>
      <c r="F44" s="7">
        <f>$L$2-SUM(D44,E44)</f>
        <v>9993818</v>
      </c>
      <c r="G44" s="7"/>
      <c r="H44" s="7"/>
      <c r="I44" s="7"/>
    </row>
    <row r="45" spans="1:9" x14ac:dyDescent="0.25">
      <c r="A45" s="5">
        <v>44</v>
      </c>
      <c r="B45" s="6">
        <v>43939</v>
      </c>
      <c r="C45" s="7">
        <v>876</v>
      </c>
      <c r="D45" s="7">
        <f t="shared" si="4"/>
        <v>4976</v>
      </c>
      <c r="E45" s="7">
        <f t="shared" si="5"/>
        <v>6223</v>
      </c>
      <c r="F45" s="7">
        <f>$L$2-SUM(D45,E45)</f>
        <v>9992942</v>
      </c>
      <c r="G45" s="7"/>
      <c r="H45" s="7"/>
      <c r="I45" s="7"/>
    </row>
    <row r="46" spans="1:9" x14ac:dyDescent="0.25">
      <c r="A46" s="5">
        <v>45</v>
      </c>
      <c r="B46" s="6">
        <v>43940</v>
      </c>
      <c r="C46" s="7">
        <v>851</v>
      </c>
      <c r="D46" s="7">
        <f t="shared" si="4"/>
        <v>5303</v>
      </c>
      <c r="E46" s="7">
        <f t="shared" si="5"/>
        <v>6747</v>
      </c>
      <c r="F46" s="7">
        <f>$L$2-SUM(D46,E46)</f>
        <v>9992091</v>
      </c>
      <c r="G46" s="7"/>
      <c r="H46" s="7"/>
      <c r="I46" s="7"/>
    </row>
    <row r="47" spans="1:9" x14ac:dyDescent="0.25">
      <c r="A47" s="5">
        <v>46</v>
      </c>
      <c r="B47" s="6">
        <v>43941</v>
      </c>
      <c r="C47" s="7">
        <v>1144</v>
      </c>
      <c r="D47" s="7">
        <f t="shared" si="4"/>
        <v>5728</v>
      </c>
      <c r="E47" s="7">
        <f t="shared" si="5"/>
        <v>7466</v>
      </c>
      <c r="F47" s="7">
        <f>$L$2-SUM(D47,E47)</f>
        <v>9990947</v>
      </c>
      <c r="G47" s="7"/>
      <c r="H47" s="7"/>
      <c r="I47" s="7"/>
    </row>
    <row r="48" spans="1:9" x14ac:dyDescent="0.25">
      <c r="A48" s="5">
        <v>47</v>
      </c>
      <c r="B48" s="6">
        <v>43942</v>
      </c>
      <c r="C48" s="7">
        <v>1266</v>
      </c>
      <c r="D48" s="7">
        <f t="shared" si="4"/>
        <v>6366</v>
      </c>
      <c r="E48" s="7">
        <f t="shared" si="5"/>
        <v>8094</v>
      </c>
      <c r="F48" s="7">
        <f>$L$2-SUM(D48,E48)</f>
        <v>9989681</v>
      </c>
      <c r="G48" s="7"/>
      <c r="H48" s="7"/>
      <c r="I48" s="7"/>
    </row>
    <row r="49" spans="1:9" x14ac:dyDescent="0.25">
      <c r="A49" s="5">
        <v>48</v>
      </c>
      <c r="B49" s="6">
        <v>43943</v>
      </c>
      <c r="C49" s="7">
        <v>1453</v>
      </c>
      <c r="D49" s="7">
        <f t="shared" si="4"/>
        <v>7029</v>
      </c>
      <c r="E49" s="7">
        <f t="shared" si="5"/>
        <v>8884</v>
      </c>
      <c r="F49" s="7">
        <f>$L$2-SUM(D49,E49)</f>
        <v>9988228</v>
      </c>
      <c r="G49" s="7"/>
      <c r="H49" s="7"/>
      <c r="I49" s="7"/>
    </row>
    <row r="50" spans="1:9" x14ac:dyDescent="0.25">
      <c r="A50" s="5">
        <v>49</v>
      </c>
      <c r="B50" s="6">
        <v>43944</v>
      </c>
      <c r="C50" s="7">
        <v>1302</v>
      </c>
      <c r="D50" s="7">
        <f t="shared" si="4"/>
        <v>7482</v>
      </c>
      <c r="E50" s="7">
        <f t="shared" si="5"/>
        <v>9733</v>
      </c>
      <c r="F50" s="7">
        <f>$L$2-SUM(D50,E50)</f>
        <v>9986926</v>
      </c>
      <c r="G50" s="7"/>
      <c r="H50" s="7"/>
      <c r="I50" s="7"/>
    </row>
    <row r="51" spans="1:9" x14ac:dyDescent="0.25">
      <c r="A51" s="5">
        <v>50</v>
      </c>
      <c r="B51" s="6">
        <v>43945</v>
      </c>
      <c r="C51" s="7">
        <v>1337</v>
      </c>
      <c r="D51" s="7">
        <f t="shared" si="4"/>
        <v>8229</v>
      </c>
      <c r="E51" s="7">
        <f t="shared" si="5"/>
        <v>10323</v>
      </c>
      <c r="F51" s="7">
        <f>$L$2-SUM(D51,E51)</f>
        <v>9985589</v>
      </c>
      <c r="G51" s="7"/>
      <c r="H51" s="7"/>
      <c r="I51" s="7"/>
    </row>
    <row r="52" spans="1:9" x14ac:dyDescent="0.25">
      <c r="A52" s="5">
        <v>51</v>
      </c>
      <c r="B52" s="6">
        <v>43946</v>
      </c>
      <c r="C52" s="7">
        <v>1431</v>
      </c>
      <c r="D52" s="7">
        <f t="shared" si="4"/>
        <v>8784</v>
      </c>
      <c r="E52" s="7">
        <f t="shared" si="5"/>
        <v>11199</v>
      </c>
      <c r="F52" s="7">
        <f>$L$2-SUM(D52,E52)</f>
        <v>9984158</v>
      </c>
      <c r="G52" s="7"/>
      <c r="H52" s="7"/>
      <c r="I52" s="7"/>
    </row>
    <row r="53" spans="1:9" x14ac:dyDescent="0.25">
      <c r="A53" s="5">
        <v>52</v>
      </c>
      <c r="B53" s="6">
        <v>43947</v>
      </c>
      <c r="C53" s="7">
        <v>993</v>
      </c>
      <c r="D53" s="7">
        <f t="shared" si="4"/>
        <v>8926</v>
      </c>
      <c r="E53" s="7">
        <f t="shared" si="5"/>
        <v>12050</v>
      </c>
      <c r="F53" s="7">
        <f>$L$2-SUM(D53,E53)</f>
        <v>9983165</v>
      </c>
      <c r="G53" s="7"/>
      <c r="H53" s="7"/>
      <c r="I53" s="7"/>
    </row>
    <row r="54" spans="1:9" x14ac:dyDescent="0.25">
      <c r="A54" s="5">
        <v>53</v>
      </c>
      <c r="B54" s="6">
        <v>43948</v>
      </c>
      <c r="C54" s="7">
        <v>1998</v>
      </c>
      <c r="D54" s="7">
        <f t="shared" si="4"/>
        <v>9780</v>
      </c>
      <c r="E54" s="7">
        <f t="shared" si="5"/>
        <v>13194</v>
      </c>
      <c r="F54" s="7">
        <f>$L$2-SUM(D54,E54)</f>
        <v>9981167</v>
      </c>
      <c r="G54" s="7"/>
      <c r="H54" s="7"/>
      <c r="I54" s="7"/>
    </row>
    <row r="55" spans="1:9" x14ac:dyDescent="0.25">
      <c r="A55" s="5">
        <v>54</v>
      </c>
      <c r="B55" s="6">
        <v>43949</v>
      </c>
      <c r="C55" s="7">
        <v>1747</v>
      </c>
      <c r="D55" s="7">
        <f t="shared" si="4"/>
        <v>10261</v>
      </c>
      <c r="E55" s="7">
        <f t="shared" si="5"/>
        <v>14460</v>
      </c>
      <c r="F55" s="7">
        <f>$L$2-SUM(D55,E55)</f>
        <v>9979420</v>
      </c>
      <c r="G55" s="7"/>
      <c r="H55" s="7"/>
      <c r="I55" s="7"/>
    </row>
    <row r="56" spans="1:9" x14ac:dyDescent="0.25">
      <c r="A56" s="5">
        <v>55</v>
      </c>
      <c r="B56" s="6">
        <v>43950</v>
      </c>
      <c r="C56" s="7">
        <v>2524</v>
      </c>
      <c r="D56" s="7">
        <f t="shared" si="4"/>
        <v>11332</v>
      </c>
      <c r="E56" s="7">
        <f t="shared" si="5"/>
        <v>15913</v>
      </c>
      <c r="F56" s="7">
        <f>$L$2-SUM(D56,E56)</f>
        <v>9976896</v>
      </c>
      <c r="G56" s="7"/>
      <c r="H56" s="7"/>
      <c r="I56" s="7"/>
    </row>
    <row r="57" spans="1:9" x14ac:dyDescent="0.25">
      <c r="A57" s="5">
        <v>56</v>
      </c>
      <c r="B57" s="6">
        <v>43951</v>
      </c>
      <c r="C57" s="7">
        <v>1798</v>
      </c>
      <c r="D57" s="7">
        <f t="shared" si="4"/>
        <v>11828</v>
      </c>
      <c r="E57" s="7">
        <f t="shared" si="5"/>
        <v>17215</v>
      </c>
      <c r="F57" s="7">
        <f>$L$2-SUM(D57,E57)</f>
        <v>9975098</v>
      </c>
      <c r="G57" s="7"/>
      <c r="H57" s="7"/>
      <c r="I57" s="7"/>
    </row>
    <row r="58" spans="1:9" x14ac:dyDescent="0.25">
      <c r="A58" s="5">
        <v>57</v>
      </c>
      <c r="B58" s="6">
        <v>43952</v>
      </c>
      <c r="C58" s="7">
        <v>1408</v>
      </c>
      <c r="D58" s="7">
        <f t="shared" si="4"/>
        <v>11899</v>
      </c>
      <c r="E58" s="7">
        <f t="shared" si="5"/>
        <v>18552</v>
      </c>
      <c r="F58" s="7">
        <f>$L$2-SUM(D58,E58)</f>
        <v>9973690</v>
      </c>
      <c r="G58" s="7"/>
      <c r="H58" s="7"/>
      <c r="I58" s="7"/>
    </row>
    <row r="59" spans="1:9" x14ac:dyDescent="0.25">
      <c r="A59" s="5">
        <v>58</v>
      </c>
      <c r="B59" s="6">
        <v>43953</v>
      </c>
      <c r="C59" s="7">
        <v>1935</v>
      </c>
      <c r="D59" s="7">
        <f t="shared" si="4"/>
        <v>12403</v>
      </c>
      <c r="E59" s="7">
        <f t="shared" si="5"/>
        <v>19983</v>
      </c>
      <c r="F59" s="7">
        <f>$L$2-SUM(D59,E59)</f>
        <v>9971755</v>
      </c>
      <c r="G59" s="7"/>
      <c r="H59" s="7"/>
      <c r="I59" s="7"/>
    </row>
    <row r="60" spans="1:9" x14ac:dyDescent="0.25">
      <c r="A60" s="5">
        <v>59</v>
      </c>
      <c r="B60" s="6">
        <v>43954</v>
      </c>
      <c r="C60" s="7">
        <v>1223</v>
      </c>
      <c r="D60" s="7">
        <f t="shared" si="4"/>
        <v>12633</v>
      </c>
      <c r="E60" s="7">
        <f t="shared" si="5"/>
        <v>20976</v>
      </c>
      <c r="F60" s="7">
        <f>$L$2-SUM(D60,E60)</f>
        <v>9970532</v>
      </c>
      <c r="G60" s="7"/>
      <c r="H60" s="7"/>
      <c r="I60" s="7"/>
    </row>
    <row r="61" spans="1:9" x14ac:dyDescent="0.25">
      <c r="A61" s="5">
        <v>60</v>
      </c>
      <c r="B61" s="6">
        <v>43955</v>
      </c>
      <c r="C61" s="7">
        <v>2381</v>
      </c>
      <c r="D61" s="7">
        <f t="shared" si="4"/>
        <v>13016</v>
      </c>
      <c r="E61" s="7">
        <f t="shared" si="5"/>
        <v>22974</v>
      </c>
      <c r="F61" s="7">
        <f>$L$2-SUM(D61,E61)</f>
        <v>9968151</v>
      </c>
      <c r="G61" s="7"/>
      <c r="H61" s="7"/>
      <c r="I61" s="7"/>
    </row>
    <row r="62" spans="1:9" x14ac:dyDescent="0.25">
      <c r="A62" s="5">
        <v>61</v>
      </c>
      <c r="B62" s="6">
        <v>43956</v>
      </c>
      <c r="C62" s="7">
        <v>2425</v>
      </c>
      <c r="D62" s="7">
        <f t="shared" si="4"/>
        <v>13694</v>
      </c>
      <c r="E62" s="7">
        <f t="shared" si="5"/>
        <v>24721</v>
      </c>
      <c r="F62" s="7">
        <f>$L$2-SUM(D62,E62)</f>
        <v>9965726</v>
      </c>
      <c r="G62" s="7"/>
      <c r="H62" s="7"/>
      <c r="I62" s="7"/>
    </row>
    <row r="63" spans="1:9" x14ac:dyDescent="0.25">
      <c r="A63" s="5">
        <v>62</v>
      </c>
      <c r="B63" s="6">
        <v>43957</v>
      </c>
      <c r="C63" s="7">
        <v>2266</v>
      </c>
      <c r="D63" s="7">
        <f t="shared" si="4"/>
        <v>13436</v>
      </c>
      <c r="E63" s="7">
        <f t="shared" si="5"/>
        <v>27245</v>
      </c>
      <c r="F63" s="7">
        <f>$L$2-SUM(D63,E63)</f>
        <v>9963460</v>
      </c>
      <c r="G63" s="7"/>
      <c r="H63" s="7"/>
      <c r="I63" s="7"/>
    </row>
    <row r="64" spans="1:9" x14ac:dyDescent="0.25">
      <c r="A64" s="5">
        <v>63</v>
      </c>
      <c r="B64" s="6">
        <v>43958</v>
      </c>
      <c r="C64" s="7">
        <v>2371</v>
      </c>
      <c r="D64" s="7">
        <f t="shared" si="4"/>
        <v>14009</v>
      </c>
      <c r="E64" s="7">
        <f t="shared" si="5"/>
        <v>29043</v>
      </c>
      <c r="F64" s="7">
        <f>$L$2-SUM(D64,E64)</f>
        <v>9961089</v>
      </c>
      <c r="G64" s="7"/>
      <c r="H64" s="7"/>
      <c r="I64" s="7"/>
    </row>
    <row r="65" spans="1:9" x14ac:dyDescent="0.25">
      <c r="A65" s="5">
        <v>64</v>
      </c>
      <c r="B65" s="6">
        <v>43959</v>
      </c>
      <c r="C65" s="7">
        <v>2016</v>
      </c>
      <c r="D65" s="7">
        <f t="shared" si="4"/>
        <v>14617</v>
      </c>
      <c r="E65" s="7">
        <f t="shared" si="5"/>
        <v>30451</v>
      </c>
      <c r="F65" s="7">
        <f>$L$2-SUM(D65,E65)</f>
        <v>9959073</v>
      </c>
      <c r="G65" s="7"/>
      <c r="H65" s="7"/>
      <c r="I65" s="7"/>
    </row>
    <row r="66" spans="1:9" x14ac:dyDescent="0.25">
      <c r="A66" s="5">
        <v>65</v>
      </c>
      <c r="B66" s="6">
        <v>43960</v>
      </c>
      <c r="C66" s="7">
        <v>1410</v>
      </c>
      <c r="D66" s="7">
        <f t="shared" si="4"/>
        <v>14092</v>
      </c>
      <c r="E66" s="7">
        <f t="shared" si="5"/>
        <v>32386</v>
      </c>
      <c r="F66" s="7">
        <f>$L$2-SUM(D66,E66)</f>
        <v>9957663</v>
      </c>
      <c r="G66" s="7"/>
      <c r="H66" s="7"/>
      <c r="I66" s="7"/>
    </row>
    <row r="67" spans="1:9" x14ac:dyDescent="0.25">
      <c r="A67" s="5">
        <v>66</v>
      </c>
      <c r="B67" s="6">
        <v>43961</v>
      </c>
      <c r="C67" s="7">
        <v>599</v>
      </c>
      <c r="D67" s="7">
        <f t="shared" si="4"/>
        <v>13468</v>
      </c>
      <c r="E67" s="7">
        <f t="shared" si="5"/>
        <v>33609</v>
      </c>
      <c r="F67" s="7">
        <f>$L$2-SUM(D67,E67)</f>
        <v>9957064</v>
      </c>
      <c r="G67" s="7"/>
      <c r="H67" s="7"/>
      <c r="I67" s="7"/>
    </row>
    <row r="68" spans="1:9" x14ac:dyDescent="0.25">
      <c r="A68" s="5">
        <v>67</v>
      </c>
      <c r="B68" s="6">
        <v>43962</v>
      </c>
      <c r="C68" s="7">
        <v>2350</v>
      </c>
      <c r="D68" s="7">
        <f t="shared" si="4"/>
        <v>13437</v>
      </c>
      <c r="E68" s="7">
        <f t="shared" si="5"/>
        <v>35990</v>
      </c>
      <c r="F68" s="7">
        <f>$L$2-SUM(D68,E68)</f>
        <v>9954714</v>
      </c>
      <c r="G68" s="7"/>
      <c r="H68" s="7"/>
      <c r="I68" s="7"/>
    </row>
    <row r="69" spans="1:9" x14ac:dyDescent="0.25">
      <c r="A69" s="5">
        <v>68</v>
      </c>
      <c r="B69" s="6">
        <v>43963</v>
      </c>
      <c r="C69" s="7">
        <v>2932</v>
      </c>
      <c r="D69" s="7">
        <f t="shared" si="4"/>
        <v>13944</v>
      </c>
      <c r="E69" s="7">
        <f t="shared" si="5"/>
        <v>38415</v>
      </c>
      <c r="F69" s="7">
        <f>$L$2-SUM(D69,E69)</f>
        <v>9951782</v>
      </c>
      <c r="G69" s="7"/>
      <c r="H69" s="7"/>
      <c r="I69" s="7"/>
    </row>
    <row r="70" spans="1:9" x14ac:dyDescent="0.25">
      <c r="A70" s="5">
        <v>69</v>
      </c>
      <c r="B70" s="6">
        <v>43964</v>
      </c>
      <c r="C70" s="7">
        <v>2798</v>
      </c>
      <c r="D70" s="7">
        <f t="shared" si="4"/>
        <v>14476</v>
      </c>
      <c r="E70" s="7">
        <f t="shared" si="5"/>
        <v>40681</v>
      </c>
      <c r="F70" s="7">
        <f>$L$2-SUM(D70,E70)</f>
        <v>9948984</v>
      </c>
      <c r="G70" s="7"/>
      <c r="H70" s="7"/>
      <c r="I70" s="7"/>
    </row>
    <row r="71" spans="1:9" x14ac:dyDescent="0.25">
      <c r="A71" s="5">
        <v>70</v>
      </c>
      <c r="B71" s="6">
        <v>43965</v>
      </c>
      <c r="C71" s="7">
        <v>2143</v>
      </c>
      <c r="D71" s="7">
        <f t="shared" si="4"/>
        <v>14248</v>
      </c>
      <c r="E71" s="7">
        <f t="shared" si="5"/>
        <v>43052</v>
      </c>
      <c r="F71" s="7">
        <f>$L$2-SUM(D71,E71)</f>
        <v>9946841</v>
      </c>
      <c r="G71" s="7"/>
      <c r="H71" s="7"/>
      <c r="I71" s="7"/>
    </row>
    <row r="72" spans="1:9" x14ac:dyDescent="0.25">
      <c r="A72" s="5">
        <v>71</v>
      </c>
      <c r="B72" s="6">
        <v>43966</v>
      </c>
      <c r="C72" s="7">
        <v>2433</v>
      </c>
      <c r="D72" s="7">
        <f t="shared" si="4"/>
        <v>14665</v>
      </c>
      <c r="E72" s="7">
        <f t="shared" si="5"/>
        <v>45068</v>
      </c>
      <c r="F72" s="7">
        <f>$L$2-SUM(D72,E72)</f>
        <v>9944408</v>
      </c>
      <c r="G72" s="7"/>
      <c r="H72" s="7"/>
      <c r="I72" s="7"/>
    </row>
    <row r="73" spans="1:9" x14ac:dyDescent="0.25">
      <c r="A73" s="5">
        <v>72</v>
      </c>
      <c r="B73" s="6">
        <v>43967</v>
      </c>
      <c r="C73" s="7">
        <v>2395</v>
      </c>
      <c r="D73" s="7">
        <f t="shared" ref="D73:D136" si="6">SUM(C67:C73)</f>
        <v>15650</v>
      </c>
      <c r="E73" s="7">
        <f t="shared" si="5"/>
        <v>46478</v>
      </c>
      <c r="F73" s="7">
        <f>$L$2-SUM(D73,E73)</f>
        <v>9942013</v>
      </c>
      <c r="G73" s="7"/>
      <c r="H73" s="7"/>
      <c r="I73" s="7"/>
    </row>
    <row r="74" spans="1:9" x14ac:dyDescent="0.25">
      <c r="A74" s="5">
        <v>73</v>
      </c>
      <c r="B74" s="6">
        <v>43968</v>
      </c>
      <c r="C74" s="7">
        <v>1292</v>
      </c>
      <c r="D74" s="7">
        <f t="shared" si="6"/>
        <v>16343</v>
      </c>
      <c r="E74" s="7">
        <f t="shared" si="5"/>
        <v>47077</v>
      </c>
      <c r="F74" s="7">
        <f>$L$2-SUM(D74,E74)</f>
        <v>9940721</v>
      </c>
      <c r="G74" s="7"/>
      <c r="H74" s="7"/>
      <c r="I74" s="7"/>
    </row>
    <row r="75" spans="1:9" x14ac:dyDescent="0.25">
      <c r="A75" s="5">
        <v>74</v>
      </c>
      <c r="B75" s="6">
        <v>43969</v>
      </c>
      <c r="C75" s="7">
        <v>3085</v>
      </c>
      <c r="D75" s="7">
        <f t="shared" si="6"/>
        <v>17078</v>
      </c>
      <c r="E75" s="7">
        <f t="shared" si="5"/>
        <v>49427</v>
      </c>
      <c r="F75" s="7">
        <f>$L$2-SUM(D75,E75)</f>
        <v>9937636</v>
      </c>
      <c r="G75" s="7"/>
      <c r="H75" s="7"/>
      <c r="I75" s="7"/>
    </row>
    <row r="76" spans="1:9" x14ac:dyDescent="0.25">
      <c r="A76" s="5">
        <v>75</v>
      </c>
      <c r="B76" s="6">
        <v>43970</v>
      </c>
      <c r="C76" s="7">
        <v>2807</v>
      </c>
      <c r="D76" s="7">
        <f t="shared" si="6"/>
        <v>16953</v>
      </c>
      <c r="E76" s="7">
        <f t="shared" ref="E76:E98" si="7">C69+E75</f>
        <v>52359</v>
      </c>
      <c r="F76" s="7">
        <f>$L$2-SUM(D76,E76)</f>
        <v>9934829</v>
      </c>
      <c r="G76" s="7"/>
      <c r="H76" s="7"/>
      <c r="I76" s="7"/>
    </row>
    <row r="77" spans="1:9" x14ac:dyDescent="0.25">
      <c r="A77" s="5">
        <v>76</v>
      </c>
      <c r="B77" s="6">
        <v>43971</v>
      </c>
      <c r="C77" s="7">
        <v>2953</v>
      </c>
      <c r="D77" s="7">
        <f t="shared" si="6"/>
        <v>17108</v>
      </c>
      <c r="E77" s="7">
        <f t="shared" si="7"/>
        <v>55157</v>
      </c>
      <c r="F77" s="7">
        <f>$L$2-SUM(D77,E77)</f>
        <v>9931876</v>
      </c>
      <c r="G77" s="7"/>
      <c r="H77" s="7"/>
      <c r="I77" s="7"/>
    </row>
    <row r="78" spans="1:9" x14ac:dyDescent="0.25">
      <c r="A78" s="5">
        <v>77</v>
      </c>
      <c r="B78" s="6">
        <v>43972</v>
      </c>
      <c r="C78" s="7">
        <v>2968</v>
      </c>
      <c r="D78" s="7">
        <f t="shared" si="6"/>
        <v>17933</v>
      </c>
      <c r="E78" s="7">
        <f t="shared" si="7"/>
        <v>57300</v>
      </c>
      <c r="F78" s="7">
        <f>$L$2-SUM(D78,E78)</f>
        <v>9928908</v>
      </c>
      <c r="G78" s="7"/>
      <c r="H78" s="7"/>
      <c r="I78" s="7"/>
    </row>
    <row r="79" spans="1:9" x14ac:dyDescent="0.25">
      <c r="A79" s="5">
        <v>78</v>
      </c>
      <c r="B79" s="6">
        <v>43973</v>
      </c>
      <c r="C79" s="7">
        <v>3426</v>
      </c>
      <c r="D79" s="7">
        <f t="shared" si="6"/>
        <v>18926</v>
      </c>
      <c r="E79" s="7">
        <f t="shared" si="7"/>
        <v>59733</v>
      </c>
      <c r="F79" s="7">
        <f>$L$2-SUM(D79,E79)</f>
        <v>9925482</v>
      </c>
      <c r="G79" s="7"/>
      <c r="H79" s="7"/>
      <c r="I79" s="7"/>
    </row>
    <row r="80" spans="1:9" x14ac:dyDescent="0.25">
      <c r="A80" s="5">
        <v>79</v>
      </c>
      <c r="B80" s="6">
        <v>43974</v>
      </c>
      <c r="C80" s="7">
        <v>3052</v>
      </c>
      <c r="D80" s="7">
        <f t="shared" si="6"/>
        <v>19583</v>
      </c>
      <c r="E80" s="7">
        <f t="shared" si="7"/>
        <v>62128</v>
      </c>
      <c r="F80" s="7">
        <f>$L$2-SUM(D80,E80)</f>
        <v>9922430</v>
      </c>
      <c r="G80" s="7"/>
      <c r="H80" s="7"/>
      <c r="I80" s="7"/>
    </row>
    <row r="81" spans="1:9" x14ac:dyDescent="0.25">
      <c r="A81" s="5">
        <v>80</v>
      </c>
      <c r="B81" s="6">
        <v>43975</v>
      </c>
      <c r="C81" s="7">
        <v>983</v>
      </c>
      <c r="D81" s="7">
        <f t="shared" si="6"/>
        <v>19274</v>
      </c>
      <c r="E81" s="7">
        <f t="shared" si="7"/>
        <v>63420</v>
      </c>
      <c r="F81" s="7">
        <f>$L$2-SUM(D81,E81)</f>
        <v>9921447</v>
      </c>
      <c r="G81" s="7"/>
      <c r="H81" s="7"/>
      <c r="I81" s="7"/>
    </row>
    <row r="82" spans="1:9" x14ac:dyDescent="0.25">
      <c r="A82" s="5">
        <v>81</v>
      </c>
      <c r="B82" s="6">
        <v>43976</v>
      </c>
      <c r="C82" s="7">
        <v>4147</v>
      </c>
      <c r="D82" s="7">
        <f t="shared" si="6"/>
        <v>20336</v>
      </c>
      <c r="E82" s="7">
        <f t="shared" si="7"/>
        <v>66505</v>
      </c>
      <c r="F82" s="7">
        <f>$L$2-SUM(D82,E82)</f>
        <v>9917300</v>
      </c>
      <c r="G82" s="7"/>
      <c r="H82" s="7"/>
      <c r="I82" s="7"/>
    </row>
    <row r="83" spans="1:9" x14ac:dyDescent="0.25">
      <c r="A83" s="5">
        <v>82</v>
      </c>
      <c r="B83" s="6">
        <v>43977</v>
      </c>
      <c r="C83" s="7">
        <v>4102</v>
      </c>
      <c r="D83" s="7">
        <f t="shared" si="6"/>
        <v>21631</v>
      </c>
      <c r="E83" s="7">
        <f t="shared" si="7"/>
        <v>69312</v>
      </c>
      <c r="F83" s="7">
        <f>$L$2-SUM(D83,E83)</f>
        <v>9913198</v>
      </c>
      <c r="G83" s="7"/>
      <c r="H83" s="7"/>
      <c r="I83" s="7"/>
    </row>
    <row r="84" spans="1:9" x14ac:dyDescent="0.25">
      <c r="A84" s="5">
        <v>83</v>
      </c>
      <c r="B84" s="6">
        <v>43978</v>
      </c>
      <c r="C84" s="7">
        <v>4285</v>
      </c>
      <c r="D84" s="7">
        <f t="shared" si="6"/>
        <v>22963</v>
      </c>
      <c r="E84" s="7">
        <f t="shared" si="7"/>
        <v>72265</v>
      </c>
      <c r="F84" s="7">
        <f>$L$2-SUM(D84,E84)</f>
        <v>9908913</v>
      </c>
      <c r="G84" s="7"/>
      <c r="H84" s="7"/>
      <c r="I84" s="7"/>
    </row>
    <row r="85" spans="1:9" x14ac:dyDescent="0.25">
      <c r="A85" s="5">
        <v>84</v>
      </c>
      <c r="B85" s="6">
        <v>43979</v>
      </c>
      <c r="C85" s="7">
        <v>3589</v>
      </c>
      <c r="D85" s="7">
        <f t="shared" si="6"/>
        <v>23584</v>
      </c>
      <c r="E85" s="7">
        <f t="shared" si="7"/>
        <v>75233</v>
      </c>
      <c r="F85" s="7">
        <f>$L$2-SUM(D85,E85)</f>
        <v>9905324</v>
      </c>
      <c r="G85" s="7"/>
      <c r="H85" s="7"/>
      <c r="I85" s="7"/>
    </row>
    <row r="86" spans="1:9" x14ac:dyDescent="0.25">
      <c r="A86" s="5">
        <v>85</v>
      </c>
      <c r="B86" s="6">
        <v>43980</v>
      </c>
      <c r="C86" s="7">
        <v>3250</v>
      </c>
      <c r="D86" s="7">
        <f t="shared" si="6"/>
        <v>23408</v>
      </c>
      <c r="E86" s="7">
        <f t="shared" si="7"/>
        <v>78659</v>
      </c>
      <c r="F86" s="7">
        <f>$L$2-SUM(D86,E86)</f>
        <v>9902074</v>
      </c>
      <c r="G86" s="7"/>
      <c r="H86" s="7"/>
      <c r="I86" s="7"/>
    </row>
    <row r="87" spans="1:9" x14ac:dyDescent="0.25">
      <c r="A87" s="5">
        <v>86</v>
      </c>
      <c r="B87" s="6">
        <v>43981</v>
      </c>
      <c r="C87" s="7">
        <v>2643</v>
      </c>
      <c r="D87" s="7">
        <f t="shared" si="6"/>
        <v>22999</v>
      </c>
      <c r="E87" s="7">
        <f t="shared" si="7"/>
        <v>81711</v>
      </c>
      <c r="F87" s="7">
        <f>$L$2-SUM(D87,E87)</f>
        <v>9899431</v>
      </c>
      <c r="G87" s="7"/>
      <c r="H87" s="7"/>
      <c r="I87" s="7"/>
    </row>
    <row r="88" spans="1:9" x14ac:dyDescent="0.25">
      <c r="A88" s="5">
        <v>87</v>
      </c>
      <c r="B88" s="6">
        <v>43982</v>
      </c>
      <c r="C88" s="7">
        <v>1412</v>
      </c>
      <c r="D88" s="7">
        <f t="shared" si="6"/>
        <v>23428</v>
      </c>
      <c r="E88" s="7">
        <f t="shared" si="7"/>
        <v>82694</v>
      </c>
      <c r="F88" s="7">
        <f>$L$2-SUM(D88,E88)</f>
        <v>9898019</v>
      </c>
      <c r="G88" s="7"/>
      <c r="H88" s="7"/>
      <c r="I88" s="7"/>
    </row>
    <row r="89" spans="1:9" x14ac:dyDescent="0.25">
      <c r="A89" s="5">
        <v>88</v>
      </c>
      <c r="B89" s="6">
        <v>43983</v>
      </c>
      <c r="C89" s="7">
        <v>2137</v>
      </c>
      <c r="D89" s="7">
        <f t="shared" si="6"/>
        <v>21418</v>
      </c>
      <c r="E89" s="7">
        <f t="shared" si="7"/>
        <v>86841</v>
      </c>
      <c r="F89" s="7">
        <f>$L$2-SUM(D89,E89)</f>
        <v>9895882</v>
      </c>
      <c r="G89" s="7"/>
      <c r="H89" s="7"/>
      <c r="I89" s="7"/>
    </row>
    <row r="90" spans="1:9" x14ac:dyDescent="0.25">
      <c r="A90" s="5">
        <v>89</v>
      </c>
      <c r="B90" s="6">
        <v>43984</v>
      </c>
      <c r="C90" s="7">
        <v>1968</v>
      </c>
      <c r="D90" s="7">
        <f t="shared" si="6"/>
        <v>19284</v>
      </c>
      <c r="E90" s="7">
        <f t="shared" si="7"/>
        <v>90943</v>
      </c>
      <c r="F90" s="7">
        <f>$L$2-SUM(D90,E90)</f>
        <v>9893914</v>
      </c>
      <c r="G90" s="7"/>
      <c r="H90" s="7"/>
      <c r="I90" s="7"/>
    </row>
    <row r="91" spans="1:9" x14ac:dyDescent="0.25">
      <c r="A91" s="5">
        <v>90</v>
      </c>
      <c r="B91" s="6">
        <v>43985</v>
      </c>
      <c r="C91" s="7">
        <v>1084</v>
      </c>
      <c r="D91" s="7">
        <f t="shared" si="6"/>
        <v>16083</v>
      </c>
      <c r="E91" s="7">
        <f t="shared" si="7"/>
        <v>95228</v>
      </c>
      <c r="F91" s="7">
        <f>$L$2-SUM(D91,E91)</f>
        <v>9892830</v>
      </c>
      <c r="G91" s="7"/>
      <c r="H91" s="7"/>
      <c r="I91" s="7"/>
    </row>
    <row r="92" spans="1:9" x14ac:dyDescent="0.25">
      <c r="A92" s="5">
        <v>91</v>
      </c>
      <c r="B92" s="6">
        <v>43986</v>
      </c>
      <c r="C92" s="7">
        <v>1922</v>
      </c>
      <c r="D92" s="7">
        <f t="shared" si="6"/>
        <v>14416</v>
      </c>
      <c r="E92" s="7">
        <f t="shared" si="7"/>
        <v>98817</v>
      </c>
      <c r="F92" s="7">
        <f>$L$2-SUM(D92,E92)</f>
        <v>9890908</v>
      </c>
      <c r="G92" s="7"/>
      <c r="H92" s="7"/>
      <c r="I92" s="7"/>
    </row>
    <row r="93" spans="1:9" x14ac:dyDescent="0.25">
      <c r="A93" s="5">
        <v>92</v>
      </c>
      <c r="B93" s="6">
        <v>43987</v>
      </c>
      <c r="C93" s="7">
        <v>2876</v>
      </c>
      <c r="D93" s="7">
        <f t="shared" si="6"/>
        <v>14042</v>
      </c>
      <c r="E93" s="7">
        <f t="shared" si="7"/>
        <v>102067</v>
      </c>
      <c r="F93" s="7">
        <f>$L$2-SUM(D93,E93)</f>
        <v>9888032</v>
      </c>
      <c r="G93" s="7"/>
      <c r="H93" s="7"/>
      <c r="I93" s="7"/>
    </row>
    <row r="94" spans="1:9" x14ac:dyDescent="0.25">
      <c r="A94" s="5">
        <v>93</v>
      </c>
      <c r="B94" s="6">
        <v>43988</v>
      </c>
      <c r="C94" s="7">
        <v>2590</v>
      </c>
      <c r="D94" s="7">
        <f t="shared" si="6"/>
        <v>13989</v>
      </c>
      <c r="E94" s="7">
        <f t="shared" si="7"/>
        <v>104710</v>
      </c>
      <c r="F94" s="7">
        <f>$L$2-SUM(D94,E94)</f>
        <v>9885442</v>
      </c>
      <c r="G94" s="7"/>
      <c r="H94" s="7"/>
      <c r="I94" s="7"/>
    </row>
    <row r="95" spans="1:9" x14ac:dyDescent="0.25">
      <c r="A95" s="5">
        <v>94</v>
      </c>
      <c r="B95" s="6">
        <v>43989</v>
      </c>
      <c r="C95" s="7">
        <v>1797</v>
      </c>
      <c r="D95" s="7">
        <f t="shared" si="6"/>
        <v>14374</v>
      </c>
      <c r="E95" s="7">
        <f t="shared" si="7"/>
        <v>106122</v>
      </c>
      <c r="F95" s="7">
        <f>$L$2-SUM(D95,E95)</f>
        <v>9883645</v>
      </c>
      <c r="G95" s="7"/>
      <c r="H95" s="7"/>
      <c r="I95" s="7"/>
    </row>
    <row r="96" spans="1:9" x14ac:dyDescent="0.25">
      <c r="A96" s="5">
        <v>95</v>
      </c>
      <c r="B96" s="6">
        <v>43990</v>
      </c>
      <c r="C96" s="7">
        <v>2340</v>
      </c>
      <c r="D96" s="7">
        <f t="shared" si="6"/>
        <v>14577</v>
      </c>
      <c r="E96" s="7">
        <f t="shared" si="7"/>
        <v>108259</v>
      </c>
      <c r="F96" s="7">
        <f>$L$2-SUM(D96,E96)</f>
        <v>9881305</v>
      </c>
      <c r="G96" s="7"/>
      <c r="H96" s="7"/>
      <c r="I96" s="7"/>
    </row>
    <row r="97" spans="1:9" x14ac:dyDescent="0.25">
      <c r="A97" s="5">
        <v>96</v>
      </c>
      <c r="B97" s="6">
        <v>43991</v>
      </c>
      <c r="C97" s="7">
        <v>2887</v>
      </c>
      <c r="D97" s="7">
        <f t="shared" si="6"/>
        <v>15496</v>
      </c>
      <c r="E97" s="7">
        <f t="shared" si="7"/>
        <v>110227</v>
      </c>
      <c r="F97" s="7">
        <f>$L$2-SUM(D97,E97)</f>
        <v>9878418</v>
      </c>
      <c r="G97" s="7"/>
      <c r="H97" s="7"/>
      <c r="I97" s="7"/>
    </row>
    <row r="98" spans="1:9" x14ac:dyDescent="0.25">
      <c r="A98" s="5">
        <v>97</v>
      </c>
      <c r="B98" s="6">
        <v>43992</v>
      </c>
      <c r="C98" s="7">
        <v>2884</v>
      </c>
      <c r="D98" s="7">
        <f t="shared" si="6"/>
        <v>17296</v>
      </c>
      <c r="E98" s="7">
        <f t="shared" si="7"/>
        <v>111311</v>
      </c>
      <c r="F98" s="7">
        <f>$L$2-SUM(D98,E98)</f>
        <v>9875534</v>
      </c>
      <c r="G98" s="7"/>
      <c r="H98" s="7"/>
      <c r="I98" s="7"/>
    </row>
    <row r="99" spans="1:9" x14ac:dyDescent="0.25">
      <c r="A99" s="5">
        <v>98</v>
      </c>
      <c r="B99" s="6">
        <v>43993</v>
      </c>
      <c r="C99" s="7">
        <v>3269</v>
      </c>
      <c r="D99" s="7">
        <f t="shared" si="6"/>
        <v>18643</v>
      </c>
      <c r="E99" s="7">
        <f>SUM(C3:C92)</f>
        <v>113232</v>
      </c>
      <c r="F99" s="7">
        <f>$L$2-SUM(D99,E99)</f>
        <v>9872266</v>
      </c>
      <c r="G99" s="7"/>
      <c r="H99" s="7">
        <f t="shared" ref="H99:H162" si="8">C2/E99</f>
        <v>8.8314257453723323E-6</v>
      </c>
      <c r="I99" s="7"/>
    </row>
    <row r="100" spans="1:9" x14ac:dyDescent="0.25">
      <c r="A100" s="5">
        <v>99</v>
      </c>
      <c r="B100" s="6">
        <v>43994</v>
      </c>
      <c r="C100" s="7">
        <v>2423</v>
      </c>
      <c r="D100" s="7">
        <f t="shared" si="6"/>
        <v>18190</v>
      </c>
      <c r="E100" s="7">
        <f t="shared" ref="E100:E163" si="9">SUM(C4:C93)</f>
        <v>116104</v>
      </c>
      <c r="F100" s="7">
        <f>$L$2-SUM(D100,E100)</f>
        <v>9869847</v>
      </c>
      <c r="G100" s="7"/>
      <c r="H100" s="7">
        <f t="shared" si="8"/>
        <v>3.4451870736580995E-5</v>
      </c>
      <c r="I100" s="7"/>
    </row>
    <row r="101" spans="1:9" x14ac:dyDescent="0.25">
      <c r="A101" s="5">
        <v>100</v>
      </c>
      <c r="B101" s="6">
        <v>43995</v>
      </c>
      <c r="C101" s="7">
        <v>2206</v>
      </c>
      <c r="D101" s="7">
        <f t="shared" si="6"/>
        <v>17806</v>
      </c>
      <c r="E101" s="7">
        <f t="shared" si="9"/>
        <v>118692</v>
      </c>
      <c r="F101" s="7">
        <f>$L$2-SUM(D101,E101)</f>
        <v>9867643</v>
      </c>
      <c r="G101" s="7"/>
      <c r="H101" s="7">
        <f t="shared" si="8"/>
        <v>1.6850335321672901E-5</v>
      </c>
      <c r="I101" s="7"/>
    </row>
    <row r="102" spans="1:9" x14ac:dyDescent="0.25">
      <c r="A102" s="5">
        <v>101</v>
      </c>
      <c r="B102" s="6">
        <v>43996</v>
      </c>
      <c r="C102" s="7">
        <v>1681</v>
      </c>
      <c r="D102" s="7">
        <f t="shared" si="6"/>
        <v>17690</v>
      </c>
      <c r="E102" s="7">
        <f t="shared" si="9"/>
        <v>120488</v>
      </c>
      <c r="F102" s="7">
        <f>$L$2-SUM(D102,E102)</f>
        <v>9865963</v>
      </c>
      <c r="G102" s="7"/>
      <c r="H102" s="7">
        <f t="shared" si="8"/>
        <v>8.2995817010822661E-6</v>
      </c>
      <c r="I102" s="7"/>
    </row>
    <row r="103" spans="1:9" x14ac:dyDescent="0.25">
      <c r="A103" s="5">
        <v>102</v>
      </c>
      <c r="B103" s="6">
        <v>43997</v>
      </c>
      <c r="C103" s="7">
        <v>2333</v>
      </c>
      <c r="D103" s="7">
        <f t="shared" si="6"/>
        <v>17683</v>
      </c>
      <c r="E103" s="7">
        <f t="shared" si="9"/>
        <v>122827</v>
      </c>
      <c r="F103" s="7">
        <f>$L$2-SUM(D103,E103)</f>
        <v>9863631</v>
      </c>
      <c r="G103" s="7"/>
      <c r="H103" s="7">
        <f t="shared" si="8"/>
        <v>8.1415323992281824E-6</v>
      </c>
      <c r="I103" s="7"/>
    </row>
    <row r="104" spans="1:9" x14ac:dyDescent="0.25">
      <c r="A104" s="5">
        <v>103</v>
      </c>
      <c r="B104" s="6">
        <v>43998</v>
      </c>
      <c r="C104" s="7">
        <v>1930</v>
      </c>
      <c r="D104" s="7">
        <f t="shared" si="6"/>
        <v>16726</v>
      </c>
      <c r="E104" s="7">
        <f t="shared" si="9"/>
        <v>125708</v>
      </c>
      <c r="F104" s="7">
        <f>$L$2-SUM(D104,E104)</f>
        <v>9861707</v>
      </c>
      <c r="G104" s="7"/>
      <c r="H104" s="7">
        <f t="shared" si="8"/>
        <v>4.7729659210233238E-5</v>
      </c>
      <c r="I104" s="7"/>
    </row>
    <row r="105" spans="1:9" x14ac:dyDescent="0.25">
      <c r="A105" s="5">
        <v>104</v>
      </c>
      <c r="B105" s="6">
        <v>43999</v>
      </c>
      <c r="C105" s="7">
        <v>1899</v>
      </c>
      <c r="D105" s="7">
        <f t="shared" si="6"/>
        <v>15741</v>
      </c>
      <c r="E105" s="7">
        <f t="shared" si="9"/>
        <v>128584</v>
      </c>
      <c r="F105" s="7">
        <f>$L$2-SUM(D105,E105)</f>
        <v>9859816</v>
      </c>
      <c r="G105" s="7"/>
      <c r="H105" s="7">
        <f t="shared" si="8"/>
        <v>6.2216138866421944E-5</v>
      </c>
      <c r="I105" s="7"/>
    </row>
    <row r="106" spans="1:9" x14ac:dyDescent="0.25">
      <c r="A106" s="5">
        <v>105</v>
      </c>
      <c r="B106" s="6">
        <v>44000</v>
      </c>
      <c r="C106" s="7">
        <v>1705</v>
      </c>
      <c r="D106" s="7">
        <f t="shared" si="6"/>
        <v>14177</v>
      </c>
      <c r="E106" s="7">
        <f t="shared" si="9"/>
        <v>131844</v>
      </c>
      <c r="F106" s="7">
        <f>$L$2-SUM(D106,E106)</f>
        <v>9858120</v>
      </c>
      <c r="G106" s="7"/>
      <c r="H106" s="7">
        <f t="shared" si="8"/>
        <v>6.8262492036042598E-5</v>
      </c>
      <c r="I106" s="7"/>
    </row>
    <row r="107" spans="1:9" x14ac:dyDescent="0.25">
      <c r="A107" s="5">
        <v>106</v>
      </c>
      <c r="B107" s="6">
        <v>44001</v>
      </c>
      <c r="C107" s="7">
        <v>1488</v>
      </c>
      <c r="D107" s="7">
        <f t="shared" si="6"/>
        <v>13242</v>
      </c>
      <c r="E107" s="7">
        <f t="shared" si="9"/>
        <v>134252</v>
      </c>
      <c r="F107" s="7">
        <f>$L$2-SUM(D107,E107)</f>
        <v>9856647</v>
      </c>
      <c r="G107" s="7"/>
      <c r="H107" s="7">
        <f t="shared" si="8"/>
        <v>1.1173017906623365E-4</v>
      </c>
      <c r="I107" s="7"/>
    </row>
    <row r="108" spans="1:9" x14ac:dyDescent="0.25">
      <c r="A108" s="5">
        <v>107</v>
      </c>
      <c r="B108" s="6">
        <v>44002</v>
      </c>
      <c r="C108" s="7">
        <v>1824</v>
      </c>
      <c r="D108" s="7">
        <f t="shared" si="6"/>
        <v>12860</v>
      </c>
      <c r="E108" s="7">
        <f t="shared" si="9"/>
        <v>136436</v>
      </c>
      <c r="F108" s="7">
        <f>$L$2-SUM(D108,E108)</f>
        <v>9854845</v>
      </c>
      <c r="G108" s="7"/>
      <c r="H108" s="7">
        <f t="shared" si="8"/>
        <v>1.6124776451962824E-4</v>
      </c>
      <c r="I108" s="7"/>
    </row>
    <row r="109" spans="1:9" x14ac:dyDescent="0.25">
      <c r="A109" s="5">
        <v>108</v>
      </c>
      <c r="B109" s="6">
        <v>44003</v>
      </c>
      <c r="C109" s="7">
        <v>674</v>
      </c>
      <c r="D109" s="7">
        <f t="shared" si="6"/>
        <v>11853</v>
      </c>
      <c r="E109" s="7">
        <f t="shared" si="9"/>
        <v>138102</v>
      </c>
      <c r="F109" s="7">
        <f>$L$2-SUM(D109,E109)</f>
        <v>9854186</v>
      </c>
      <c r="G109" s="7"/>
      <c r="H109" s="7">
        <f t="shared" si="8"/>
        <v>1.0861537124733892E-4</v>
      </c>
      <c r="I109" s="7"/>
    </row>
    <row r="110" spans="1:9" x14ac:dyDescent="0.25">
      <c r="A110" s="5">
        <v>109</v>
      </c>
      <c r="B110" s="6">
        <v>44004</v>
      </c>
      <c r="C110" s="7">
        <v>2273</v>
      </c>
      <c r="D110" s="7">
        <f t="shared" si="6"/>
        <v>11793</v>
      </c>
      <c r="E110" s="7">
        <f t="shared" si="9"/>
        <v>140419</v>
      </c>
      <c r="F110" s="7">
        <f>$L$2-SUM(D110,E110)</f>
        <v>9851929</v>
      </c>
      <c r="G110" s="7"/>
      <c r="H110" s="7">
        <f t="shared" si="8"/>
        <v>1.1394469409410407E-4</v>
      </c>
      <c r="I110" s="7"/>
    </row>
    <row r="111" spans="1:9" x14ac:dyDescent="0.25">
      <c r="A111" s="5">
        <v>110</v>
      </c>
      <c r="B111" s="6">
        <v>44005</v>
      </c>
      <c r="C111" s="7">
        <v>1865</v>
      </c>
      <c r="D111" s="7">
        <f t="shared" si="6"/>
        <v>11728</v>
      </c>
      <c r="E111" s="7">
        <f t="shared" si="9"/>
        <v>142299</v>
      </c>
      <c r="F111" s="7">
        <f>$L$2-SUM(D111,E111)</f>
        <v>9850114</v>
      </c>
      <c r="G111" s="7"/>
      <c r="H111" s="7">
        <f t="shared" si="8"/>
        <v>3.5137281358266746E-4</v>
      </c>
      <c r="I111" s="7"/>
    </row>
    <row r="112" spans="1:9" x14ac:dyDescent="0.25">
      <c r="A112" s="5">
        <v>111</v>
      </c>
      <c r="B112" s="6">
        <v>44006</v>
      </c>
      <c r="C112" s="7">
        <v>2057</v>
      </c>
      <c r="D112" s="7">
        <f t="shared" si="6"/>
        <v>11886</v>
      </c>
      <c r="E112" s="7">
        <f t="shared" si="9"/>
        <v>144142</v>
      </c>
      <c r="F112" s="7">
        <f>$L$2-SUM(D112,E112)</f>
        <v>9848113</v>
      </c>
      <c r="G112" s="7"/>
      <c r="H112" s="7">
        <f t="shared" si="8"/>
        <v>3.8850577902346296E-4</v>
      </c>
      <c r="I112" s="7"/>
    </row>
    <row r="113" spans="1:9" x14ac:dyDescent="0.25">
      <c r="A113" s="5">
        <v>112</v>
      </c>
      <c r="B113" s="6">
        <v>44007</v>
      </c>
      <c r="C113" s="7">
        <v>2189</v>
      </c>
      <c r="D113" s="7">
        <f t="shared" si="6"/>
        <v>12370</v>
      </c>
      <c r="E113" s="7">
        <f t="shared" si="9"/>
        <v>145821</v>
      </c>
      <c r="F113" s="7">
        <f>$L$2-SUM(D113,E113)</f>
        <v>9845950</v>
      </c>
      <c r="G113" s="7"/>
      <c r="H113" s="7">
        <f t="shared" si="8"/>
        <v>1.783007934385308E-4</v>
      </c>
      <c r="I113" s="7"/>
    </row>
    <row r="114" spans="1:9" x14ac:dyDescent="0.25">
      <c r="A114" s="5">
        <v>113</v>
      </c>
      <c r="B114" s="6">
        <v>44008</v>
      </c>
      <c r="C114" s="7">
        <v>1957</v>
      </c>
      <c r="D114" s="7">
        <f t="shared" si="6"/>
        <v>12839</v>
      </c>
      <c r="E114" s="7">
        <f t="shared" si="9"/>
        <v>147282</v>
      </c>
      <c r="F114" s="7">
        <f>$L$2-SUM(D114,E114)</f>
        <v>9844020</v>
      </c>
      <c r="G114" s="7"/>
      <c r="H114" s="7">
        <f t="shared" si="8"/>
        <v>1.8332179085020573E-4</v>
      </c>
      <c r="I114" s="7"/>
    </row>
    <row r="115" spans="1:9" x14ac:dyDescent="0.25">
      <c r="A115" s="5">
        <v>114</v>
      </c>
      <c r="B115" s="6">
        <v>44009</v>
      </c>
      <c r="C115" s="7">
        <v>1483</v>
      </c>
      <c r="D115" s="7">
        <f t="shared" si="6"/>
        <v>12498</v>
      </c>
      <c r="E115" s="7">
        <f t="shared" si="9"/>
        <v>149074</v>
      </c>
      <c r="F115" s="7">
        <f>$L$2-SUM(D115,E115)</f>
        <v>9842569</v>
      </c>
      <c r="G115" s="7"/>
      <c r="H115" s="7">
        <f t="shared" si="8"/>
        <v>2.1465849175577231E-4</v>
      </c>
      <c r="I115" s="7"/>
    </row>
    <row r="116" spans="1:9" x14ac:dyDescent="0.25">
      <c r="A116" s="5">
        <v>115</v>
      </c>
      <c r="B116" s="6">
        <v>44010</v>
      </c>
      <c r="C116" s="7">
        <v>825</v>
      </c>
      <c r="D116" s="7">
        <f t="shared" si="6"/>
        <v>12649</v>
      </c>
      <c r="E116" s="7">
        <f t="shared" si="9"/>
        <v>149722</v>
      </c>
      <c r="F116" s="7">
        <f>$L$2-SUM(D116,E116)</f>
        <v>9841770</v>
      </c>
      <c r="G116" s="7"/>
      <c r="H116" s="7">
        <f t="shared" si="8"/>
        <v>1.7365517425628832E-4</v>
      </c>
      <c r="I116" s="7"/>
    </row>
    <row r="117" spans="1:9" x14ac:dyDescent="0.25">
      <c r="A117" s="5">
        <v>116</v>
      </c>
      <c r="B117" s="6">
        <v>44011</v>
      </c>
      <c r="C117" s="7">
        <v>1216</v>
      </c>
      <c r="D117" s="7">
        <f t="shared" si="6"/>
        <v>11592</v>
      </c>
      <c r="E117" s="7">
        <f t="shared" si="9"/>
        <v>151948</v>
      </c>
      <c r="F117" s="7">
        <f>$L$2-SUM(D117,E117)</f>
        <v>9840601</v>
      </c>
      <c r="G117" s="7"/>
      <c r="H117" s="7">
        <f t="shared" si="8"/>
        <v>3.0931634506541712E-4</v>
      </c>
      <c r="I117" s="7"/>
    </row>
    <row r="118" spans="1:9" x14ac:dyDescent="0.25">
      <c r="A118" s="5">
        <v>117</v>
      </c>
      <c r="B118" s="6">
        <v>44012</v>
      </c>
      <c r="C118" s="7">
        <v>1544</v>
      </c>
      <c r="D118" s="7">
        <f t="shared" si="6"/>
        <v>11271</v>
      </c>
      <c r="E118" s="7">
        <f t="shared" si="9"/>
        <v>153729</v>
      </c>
      <c r="F118" s="7">
        <f>$L$2-SUM(D118,E118)</f>
        <v>9839141</v>
      </c>
      <c r="G118" s="7"/>
      <c r="H118" s="7">
        <f t="shared" si="8"/>
        <v>5.4641609585699507E-4</v>
      </c>
      <c r="I118" s="7"/>
    </row>
    <row r="119" spans="1:9" x14ac:dyDescent="0.25">
      <c r="A119" s="5">
        <v>118</v>
      </c>
      <c r="B119" s="6">
        <v>44013</v>
      </c>
      <c r="C119" s="7">
        <v>1587</v>
      </c>
      <c r="D119" s="7">
        <f t="shared" si="6"/>
        <v>10801</v>
      </c>
      <c r="E119" s="7">
        <f t="shared" si="9"/>
        <v>155748</v>
      </c>
      <c r="F119" s="7">
        <f>$L$2-SUM(D119,E119)</f>
        <v>9837592</v>
      </c>
      <c r="G119" s="7"/>
      <c r="H119" s="7">
        <f t="shared" si="8"/>
        <v>2.4398387138197601E-4</v>
      </c>
      <c r="I119" s="7"/>
    </row>
    <row r="120" spans="1:9" x14ac:dyDescent="0.25">
      <c r="A120" s="5">
        <v>119</v>
      </c>
      <c r="B120" s="6">
        <v>44014</v>
      </c>
      <c r="C120" s="7">
        <v>1394</v>
      </c>
      <c r="D120" s="7">
        <f t="shared" si="6"/>
        <v>10006</v>
      </c>
      <c r="E120" s="7">
        <f t="shared" si="9"/>
        <v>157915</v>
      </c>
      <c r="F120" s="7">
        <f>$L$2-SUM(D120,E120)</f>
        <v>9836220</v>
      </c>
      <c r="G120" s="7"/>
      <c r="H120" s="7">
        <f t="shared" si="8"/>
        <v>1.3931545451667036E-4</v>
      </c>
      <c r="I120" s="7"/>
    </row>
    <row r="121" spans="1:9" x14ac:dyDescent="0.25">
      <c r="A121" s="5">
        <v>120</v>
      </c>
      <c r="B121" s="6">
        <v>44015</v>
      </c>
      <c r="C121" s="7">
        <v>1671</v>
      </c>
      <c r="D121" s="7">
        <f t="shared" si="6"/>
        <v>9720</v>
      </c>
      <c r="E121" s="7">
        <f t="shared" si="9"/>
        <v>159789</v>
      </c>
      <c r="F121" s="7">
        <f>$L$2-SUM(D121,E121)</f>
        <v>9834632</v>
      </c>
      <c r="G121" s="7"/>
      <c r="H121" s="7">
        <f t="shared" si="8"/>
        <v>5.194350049127287E-4</v>
      </c>
      <c r="I121" s="7"/>
    </row>
    <row r="122" spans="1:9" x14ac:dyDescent="0.25">
      <c r="A122" s="5">
        <v>121</v>
      </c>
      <c r="B122" s="6">
        <v>44016</v>
      </c>
      <c r="C122" s="7">
        <v>1474</v>
      </c>
      <c r="D122" s="7">
        <f t="shared" si="6"/>
        <v>9711</v>
      </c>
      <c r="E122" s="7">
        <f t="shared" si="9"/>
        <v>161165</v>
      </c>
      <c r="F122" s="7">
        <f>$L$2-SUM(D122,E122)</f>
        <v>9833265</v>
      </c>
      <c r="G122" s="7"/>
      <c r="H122" s="7">
        <f t="shared" si="8"/>
        <v>6.639158626252598E-4</v>
      </c>
      <c r="I122" s="7"/>
    </row>
    <row r="123" spans="1:9" x14ac:dyDescent="0.25">
      <c r="A123" s="5">
        <v>122</v>
      </c>
      <c r="B123" s="6">
        <v>44017</v>
      </c>
      <c r="C123" s="7">
        <v>1254</v>
      </c>
      <c r="D123" s="7">
        <f t="shared" si="6"/>
        <v>10140</v>
      </c>
      <c r="E123" s="7">
        <f t="shared" si="9"/>
        <v>161894</v>
      </c>
      <c r="F123" s="7">
        <f>$L$2-SUM(D123,E123)</f>
        <v>9832107</v>
      </c>
      <c r="G123" s="7"/>
      <c r="H123" s="7">
        <f t="shared" si="8"/>
        <v>5.9298059223936649E-4</v>
      </c>
      <c r="I123" s="7"/>
    </row>
    <row r="124" spans="1:9" x14ac:dyDescent="0.25">
      <c r="A124" s="5">
        <v>123</v>
      </c>
      <c r="B124" s="6">
        <v>44018</v>
      </c>
      <c r="C124" s="7">
        <v>1661</v>
      </c>
      <c r="D124" s="7">
        <f t="shared" si="6"/>
        <v>10585</v>
      </c>
      <c r="E124" s="7">
        <f t="shared" si="9"/>
        <v>162918</v>
      </c>
      <c r="F124" s="7">
        <f>$L$2-SUM(D124,E124)</f>
        <v>9830638</v>
      </c>
      <c r="G124" s="7"/>
      <c r="H124" s="7">
        <f t="shared" si="8"/>
        <v>1.1785069789710162E-3</v>
      </c>
      <c r="I124" s="7"/>
    </row>
    <row r="125" spans="1:9" x14ac:dyDescent="0.25">
      <c r="A125" s="5">
        <v>124</v>
      </c>
      <c r="B125" s="6">
        <v>44019</v>
      </c>
      <c r="C125" s="7">
        <v>1881</v>
      </c>
      <c r="D125" s="7">
        <f t="shared" si="6"/>
        <v>10922</v>
      </c>
      <c r="E125" s="7">
        <f t="shared" si="9"/>
        <v>164401</v>
      </c>
      <c r="F125" s="7">
        <f>$L$2-SUM(D125,E125)</f>
        <v>9828818</v>
      </c>
      <c r="G125" s="7"/>
      <c r="H125" s="7">
        <f t="shared" si="8"/>
        <v>3.7104397175199662E-4</v>
      </c>
      <c r="I125" s="7"/>
    </row>
    <row r="126" spans="1:9" x14ac:dyDescent="0.25">
      <c r="A126" s="5">
        <v>125</v>
      </c>
      <c r="B126" s="6">
        <v>44020</v>
      </c>
      <c r="C126" s="7">
        <v>1114</v>
      </c>
      <c r="D126" s="7">
        <f t="shared" si="6"/>
        <v>10449</v>
      </c>
      <c r="E126" s="7">
        <f t="shared" si="9"/>
        <v>165818</v>
      </c>
      <c r="F126" s="7">
        <f>$L$2-SUM(D126,E126)</f>
        <v>9827874</v>
      </c>
      <c r="G126" s="7"/>
      <c r="H126" s="7">
        <f t="shared" si="8"/>
        <v>1.025220422390814E-3</v>
      </c>
      <c r="I126" s="7"/>
    </row>
    <row r="127" spans="1:9" x14ac:dyDescent="0.25">
      <c r="A127" s="5">
        <v>126</v>
      </c>
      <c r="B127" s="6">
        <v>44021</v>
      </c>
      <c r="C127" s="7">
        <v>1247</v>
      </c>
      <c r="D127" s="7">
        <f t="shared" si="6"/>
        <v>10302</v>
      </c>
      <c r="E127" s="7">
        <f t="shared" si="9"/>
        <v>167026</v>
      </c>
      <c r="F127" s="7">
        <f>$L$2-SUM(D127,E127)</f>
        <v>9826813</v>
      </c>
      <c r="G127" s="7"/>
      <c r="H127" s="7">
        <f t="shared" si="8"/>
        <v>1.1135990803826949E-3</v>
      </c>
      <c r="I127" s="7"/>
    </row>
    <row r="128" spans="1:9" x14ac:dyDescent="0.25">
      <c r="A128" s="5">
        <v>127</v>
      </c>
      <c r="B128" s="6">
        <v>44022</v>
      </c>
      <c r="C128" s="7">
        <v>1985</v>
      </c>
      <c r="D128" s="7">
        <f t="shared" si="6"/>
        <v>10616</v>
      </c>
      <c r="E128" s="7">
        <f t="shared" si="9"/>
        <v>168196</v>
      </c>
      <c r="F128" s="7">
        <f>$L$2-SUM(D128,E128)</f>
        <v>9825329</v>
      </c>
      <c r="G128" s="7"/>
      <c r="H128" s="7">
        <f t="shared" si="8"/>
        <v>2.9786677447739543E-3</v>
      </c>
      <c r="I128" s="7"/>
    </row>
    <row r="129" spans="1:9" x14ac:dyDescent="0.25">
      <c r="A129" s="5">
        <v>128</v>
      </c>
      <c r="B129" s="6">
        <v>44023</v>
      </c>
      <c r="C129" s="7">
        <v>1571</v>
      </c>
      <c r="D129" s="7">
        <f t="shared" si="6"/>
        <v>10713</v>
      </c>
      <c r="E129" s="7">
        <f t="shared" si="9"/>
        <v>169356</v>
      </c>
      <c r="F129" s="7">
        <f>$L$2-SUM(D129,E129)</f>
        <v>9824072</v>
      </c>
      <c r="G129" s="7"/>
      <c r="H129" s="7">
        <f t="shared" si="8"/>
        <v>1.8540825243864995E-3</v>
      </c>
      <c r="I129" s="7"/>
    </row>
    <row r="130" spans="1:9" x14ac:dyDescent="0.25">
      <c r="A130" s="5">
        <v>129</v>
      </c>
      <c r="B130" s="6">
        <v>44024</v>
      </c>
      <c r="C130" s="7">
        <v>1184</v>
      </c>
      <c r="D130" s="7">
        <f t="shared" si="6"/>
        <v>10643</v>
      </c>
      <c r="E130" s="7">
        <f t="shared" si="9"/>
        <v>170122</v>
      </c>
      <c r="F130" s="7">
        <f>$L$2-SUM(D130,E130)</f>
        <v>9823376</v>
      </c>
      <c r="G130" s="7"/>
      <c r="H130" s="7">
        <f t="shared" si="8"/>
        <v>2.8685296434323602E-3</v>
      </c>
      <c r="I130" s="7"/>
    </row>
    <row r="131" spans="1:9" x14ac:dyDescent="0.25">
      <c r="A131" s="5">
        <v>130</v>
      </c>
      <c r="B131" s="6">
        <v>44025</v>
      </c>
      <c r="C131" s="7">
        <v>1918</v>
      </c>
      <c r="D131" s="7">
        <f t="shared" si="6"/>
        <v>10900</v>
      </c>
      <c r="E131" s="7">
        <f t="shared" si="9"/>
        <v>171150</v>
      </c>
      <c r="F131" s="7">
        <f>$L$2-SUM(D131,E131)</f>
        <v>9822091</v>
      </c>
      <c r="G131" s="7"/>
      <c r="H131" s="7">
        <f t="shared" si="8"/>
        <v>3.6985100788781769E-3</v>
      </c>
      <c r="I131" s="7"/>
    </row>
    <row r="132" spans="1:9" x14ac:dyDescent="0.25">
      <c r="A132" s="5">
        <v>131</v>
      </c>
      <c r="B132" s="6">
        <v>44026</v>
      </c>
      <c r="C132" s="7">
        <v>2084</v>
      </c>
      <c r="D132" s="7">
        <f t="shared" si="6"/>
        <v>11103</v>
      </c>
      <c r="E132" s="7">
        <f t="shared" si="9"/>
        <v>172334</v>
      </c>
      <c r="F132" s="7">
        <f>$L$2-SUM(D132,E132)</f>
        <v>9820704</v>
      </c>
      <c r="G132" s="7"/>
      <c r="H132" s="7">
        <f t="shared" si="8"/>
        <v>4.0444717815404973E-3</v>
      </c>
      <c r="I132" s="7"/>
    </row>
    <row r="133" spans="1:9" x14ac:dyDescent="0.25">
      <c r="A133" s="5">
        <v>132</v>
      </c>
      <c r="B133" s="6">
        <v>44027</v>
      </c>
      <c r="C133" s="7">
        <v>2278</v>
      </c>
      <c r="D133" s="7">
        <f t="shared" si="6"/>
        <v>12267</v>
      </c>
      <c r="E133" s="7">
        <f t="shared" si="9"/>
        <v>172823</v>
      </c>
      <c r="F133" s="7">
        <f>$L$2-SUM(D133,E133)</f>
        <v>9819051</v>
      </c>
      <c r="G133" s="7"/>
      <c r="H133" s="7">
        <f t="shared" si="8"/>
        <v>3.6164167963754824E-3</v>
      </c>
      <c r="I133" s="7"/>
    </row>
    <row r="134" spans="1:9" x14ac:dyDescent="0.25">
      <c r="A134" s="5">
        <v>133</v>
      </c>
      <c r="B134" s="6">
        <v>44028</v>
      </c>
      <c r="C134" s="7">
        <v>2398</v>
      </c>
      <c r="D134" s="7">
        <f t="shared" si="6"/>
        <v>13418</v>
      </c>
      <c r="E134" s="7">
        <f t="shared" si="9"/>
        <v>173278</v>
      </c>
      <c r="F134" s="7">
        <f>$L$2-SUM(D134,E134)</f>
        <v>9817445</v>
      </c>
      <c r="G134" s="7"/>
      <c r="H134" s="7">
        <f t="shared" si="8"/>
        <v>4.5706898740751857E-3</v>
      </c>
      <c r="I134" s="7"/>
    </row>
    <row r="135" spans="1:9" x14ac:dyDescent="0.25">
      <c r="A135" s="5">
        <v>134</v>
      </c>
      <c r="B135" s="6">
        <v>44029</v>
      </c>
      <c r="C135" s="7">
        <v>2316</v>
      </c>
      <c r="D135" s="7">
        <f t="shared" si="6"/>
        <v>13749</v>
      </c>
      <c r="E135" s="7">
        <f t="shared" si="9"/>
        <v>174493</v>
      </c>
      <c r="F135" s="7">
        <f>$L$2-SUM(D135,E135)</f>
        <v>9815899</v>
      </c>
      <c r="G135" s="7"/>
      <c r="H135" s="7">
        <f t="shared" si="8"/>
        <v>4.4127844669986762E-3</v>
      </c>
      <c r="I135" s="7"/>
    </row>
    <row r="136" spans="1:9" x14ac:dyDescent="0.25">
      <c r="A136" s="5">
        <v>135</v>
      </c>
      <c r="B136" s="6">
        <v>44030</v>
      </c>
      <c r="C136" s="7">
        <v>2080</v>
      </c>
      <c r="D136" s="7">
        <f t="shared" si="6"/>
        <v>14258</v>
      </c>
      <c r="E136" s="7">
        <f t="shared" si="9"/>
        <v>175540</v>
      </c>
      <c r="F136" s="7">
        <f>$L$2-SUM(D136,E136)</f>
        <v>9814343</v>
      </c>
      <c r="G136" s="7"/>
      <c r="H136" s="7">
        <f t="shared" si="8"/>
        <v>2.9850746268656717E-3</v>
      </c>
      <c r="I136" s="7"/>
    </row>
    <row r="137" spans="1:9" x14ac:dyDescent="0.25">
      <c r="A137" s="5">
        <v>136</v>
      </c>
      <c r="B137" s="6">
        <v>44031</v>
      </c>
      <c r="C137" s="7">
        <v>1247</v>
      </c>
      <c r="D137" s="7">
        <f t="shared" ref="D137:D200" si="10">SUM(C131:C137)</f>
        <v>14321</v>
      </c>
      <c r="E137" s="7">
        <f t="shared" si="9"/>
        <v>176005</v>
      </c>
      <c r="F137" s="7">
        <f>$L$2-SUM(D137,E137)</f>
        <v>9813815</v>
      </c>
      <c r="G137" s="7"/>
      <c r="H137" s="7">
        <f t="shared" si="8"/>
        <v>4.0851112184312945E-3</v>
      </c>
      <c r="I137" s="7"/>
    </row>
    <row r="138" spans="1:9" x14ac:dyDescent="0.25">
      <c r="A138" s="5">
        <v>137</v>
      </c>
      <c r="B138" s="6">
        <v>44032</v>
      </c>
      <c r="C138" s="7">
        <v>2028</v>
      </c>
      <c r="D138" s="7">
        <f t="shared" si="10"/>
        <v>14431</v>
      </c>
      <c r="E138" s="7">
        <f t="shared" si="9"/>
        <v>177295</v>
      </c>
      <c r="F138" s="7">
        <f>$L$2-SUM(D138,E138)</f>
        <v>9812415</v>
      </c>
      <c r="G138" s="7"/>
      <c r="H138" s="7">
        <f t="shared" si="8"/>
        <v>3.5421190670915704E-3</v>
      </c>
      <c r="I138" s="7"/>
    </row>
    <row r="139" spans="1:9" x14ac:dyDescent="0.25">
      <c r="A139" s="5">
        <v>138</v>
      </c>
      <c r="B139" s="6">
        <v>44033</v>
      </c>
      <c r="C139" s="7">
        <v>2311</v>
      </c>
      <c r="D139" s="7">
        <f t="shared" si="10"/>
        <v>14658</v>
      </c>
      <c r="E139" s="7">
        <f t="shared" si="9"/>
        <v>178589</v>
      </c>
      <c r="F139" s="7">
        <f>$L$2-SUM(D139,E139)</f>
        <v>9810894</v>
      </c>
      <c r="G139" s="7"/>
      <c r="H139" s="7">
        <f t="shared" si="8"/>
        <v>4.423564721231431E-3</v>
      </c>
      <c r="I139" s="7"/>
    </row>
    <row r="140" spans="1:9" x14ac:dyDescent="0.25">
      <c r="A140" s="5">
        <v>139</v>
      </c>
      <c r="B140" s="6">
        <v>44034</v>
      </c>
      <c r="C140" s="7">
        <v>2641</v>
      </c>
      <c r="D140" s="7">
        <f t="shared" si="10"/>
        <v>15021</v>
      </c>
      <c r="E140" s="7">
        <f t="shared" si="9"/>
        <v>180018</v>
      </c>
      <c r="F140" s="7">
        <f>$L$2-SUM(D140,E140)</f>
        <v>9809102</v>
      </c>
      <c r="G140" s="7"/>
      <c r="H140" s="7">
        <f t="shared" si="8"/>
        <v>4.7161950471619508E-3</v>
      </c>
      <c r="I140" s="7"/>
    </row>
    <row r="141" spans="1:9" x14ac:dyDescent="0.25">
      <c r="A141" s="5">
        <v>140</v>
      </c>
      <c r="B141" s="6">
        <v>44035</v>
      </c>
      <c r="C141" s="7">
        <v>2301</v>
      </c>
      <c r="D141" s="7">
        <f t="shared" si="10"/>
        <v>14924</v>
      </c>
      <c r="E141" s="7">
        <f t="shared" si="9"/>
        <v>181826</v>
      </c>
      <c r="F141" s="7">
        <f>$L$2-SUM(D141,E141)</f>
        <v>9807391</v>
      </c>
      <c r="G141" s="7"/>
      <c r="H141" s="7">
        <f t="shared" si="8"/>
        <v>3.244860470999747E-3</v>
      </c>
      <c r="I141" s="7"/>
    </row>
    <row r="142" spans="1:9" x14ac:dyDescent="0.25">
      <c r="A142" s="5">
        <v>141</v>
      </c>
      <c r="B142" s="6">
        <v>44036</v>
      </c>
      <c r="C142" s="7">
        <v>2551</v>
      </c>
      <c r="D142" s="7">
        <f t="shared" si="10"/>
        <v>15159</v>
      </c>
      <c r="E142" s="7">
        <f t="shared" si="9"/>
        <v>183266</v>
      </c>
      <c r="F142" s="7">
        <f>$L$2-SUM(D142,E142)</f>
        <v>9805716</v>
      </c>
      <c r="G142" s="7"/>
      <c r="H142" s="7">
        <f t="shared" si="8"/>
        <v>4.7799373588117821E-3</v>
      </c>
      <c r="I142" s="7"/>
    </row>
    <row r="143" spans="1:9" x14ac:dyDescent="0.25">
      <c r="A143" s="5">
        <v>142</v>
      </c>
      <c r="B143" s="6">
        <v>44037</v>
      </c>
      <c r="C143" s="7">
        <v>2112</v>
      </c>
      <c r="D143" s="7">
        <f t="shared" si="10"/>
        <v>15191</v>
      </c>
      <c r="E143" s="7">
        <f t="shared" si="9"/>
        <v>184495</v>
      </c>
      <c r="F143" s="7">
        <f>$L$2-SUM(D143,E143)</f>
        <v>9804455</v>
      </c>
      <c r="G143" s="7"/>
      <c r="H143" s="7">
        <f t="shared" si="8"/>
        <v>4.6125911271308164E-3</v>
      </c>
      <c r="I143" s="7"/>
    </row>
    <row r="144" spans="1:9" x14ac:dyDescent="0.25">
      <c r="A144" s="5">
        <v>143</v>
      </c>
      <c r="B144" s="6">
        <v>44038</v>
      </c>
      <c r="C144" s="7">
        <v>1697</v>
      </c>
      <c r="D144" s="7">
        <f t="shared" si="10"/>
        <v>15641</v>
      </c>
      <c r="E144" s="7">
        <f t="shared" si="9"/>
        <v>184598</v>
      </c>
      <c r="F144" s="7">
        <f>$L$2-SUM(D144,E144)</f>
        <v>9803902</v>
      </c>
      <c r="G144" s="7"/>
      <c r="H144" s="7">
        <f t="shared" si="8"/>
        <v>6.1972502410643669E-3</v>
      </c>
      <c r="I144" s="7"/>
    </row>
    <row r="145" spans="1:9" x14ac:dyDescent="0.25">
      <c r="A145" s="5">
        <v>144</v>
      </c>
      <c r="B145" s="6">
        <v>44039</v>
      </c>
      <c r="C145" s="7">
        <v>2848</v>
      </c>
      <c r="D145" s="7">
        <f t="shared" si="10"/>
        <v>16461</v>
      </c>
      <c r="E145" s="7">
        <f t="shared" si="9"/>
        <v>185360</v>
      </c>
      <c r="F145" s="7">
        <f>$L$2-SUM(D145,E145)</f>
        <v>9802320</v>
      </c>
      <c r="G145" s="7"/>
      <c r="H145" s="7">
        <f t="shared" si="8"/>
        <v>6.8299525248165733E-3</v>
      </c>
      <c r="I145" s="7"/>
    </row>
    <row r="146" spans="1:9" x14ac:dyDescent="0.25">
      <c r="A146" s="5">
        <v>145</v>
      </c>
      <c r="B146" s="6">
        <v>44040</v>
      </c>
      <c r="C146" s="7">
        <v>1280</v>
      </c>
      <c r="D146" s="7">
        <f t="shared" si="10"/>
        <v>15430</v>
      </c>
      <c r="E146" s="7">
        <f t="shared" si="9"/>
        <v>186218</v>
      </c>
      <c r="F146" s="7">
        <f>$L$2-SUM(D146,E146)</f>
        <v>9802493</v>
      </c>
      <c r="G146" s="7"/>
      <c r="H146" s="7">
        <f t="shared" si="8"/>
        <v>7.802682877058072E-3</v>
      </c>
      <c r="I146" s="7"/>
    </row>
    <row r="147" spans="1:9" x14ac:dyDescent="0.25">
      <c r="A147" s="5">
        <v>146</v>
      </c>
      <c r="B147" s="6">
        <v>44041</v>
      </c>
      <c r="C147" s="7">
        <v>2779</v>
      </c>
      <c r="D147" s="7">
        <f t="shared" si="10"/>
        <v>15568</v>
      </c>
      <c r="E147" s="7">
        <f t="shared" si="9"/>
        <v>187557</v>
      </c>
      <c r="F147" s="7">
        <f>$L$2-SUM(D147,E147)</f>
        <v>9801016</v>
      </c>
      <c r="G147" s="7"/>
      <c r="H147" s="7">
        <f t="shared" si="8"/>
        <v>6.9418896655416753E-3</v>
      </c>
      <c r="I147" s="7"/>
    </row>
    <row r="148" spans="1:9" x14ac:dyDescent="0.25">
      <c r="A148" s="5">
        <v>147</v>
      </c>
      <c r="B148" s="6">
        <v>44042</v>
      </c>
      <c r="C148" s="7">
        <v>3089</v>
      </c>
      <c r="D148" s="7">
        <f t="shared" si="10"/>
        <v>16356</v>
      </c>
      <c r="E148" s="7">
        <f t="shared" si="9"/>
        <v>188521</v>
      </c>
      <c r="F148" s="7">
        <f>$L$2-SUM(D148,E148)</f>
        <v>9799264</v>
      </c>
      <c r="G148" s="7"/>
      <c r="H148" s="7">
        <f t="shared" si="8"/>
        <v>7.0920481007420927E-3</v>
      </c>
      <c r="I148" s="7"/>
    </row>
    <row r="149" spans="1:9" x14ac:dyDescent="0.25">
      <c r="A149" s="5">
        <v>148</v>
      </c>
      <c r="B149" s="6">
        <v>44043</v>
      </c>
      <c r="C149" s="7">
        <v>2950</v>
      </c>
      <c r="D149" s="7">
        <f t="shared" si="10"/>
        <v>16755</v>
      </c>
      <c r="E149" s="7">
        <f t="shared" si="9"/>
        <v>189641</v>
      </c>
      <c r="F149" s="7">
        <f>$L$2-SUM(D149,E149)</f>
        <v>9797745</v>
      </c>
      <c r="G149" s="7"/>
      <c r="H149" s="7">
        <f t="shared" si="8"/>
        <v>7.5458366070628186E-3</v>
      </c>
      <c r="I149" s="7"/>
    </row>
    <row r="150" spans="1:9" x14ac:dyDescent="0.25">
      <c r="A150" s="5">
        <v>149</v>
      </c>
      <c r="B150" s="6">
        <v>44044</v>
      </c>
      <c r="C150" s="7">
        <v>2984</v>
      </c>
      <c r="D150" s="7">
        <f t="shared" si="10"/>
        <v>17627</v>
      </c>
      <c r="E150" s="7">
        <f t="shared" si="9"/>
        <v>190760</v>
      </c>
      <c r="F150" s="7">
        <f>$L$2-SUM(D150,E150)</f>
        <v>9795754</v>
      </c>
      <c r="G150" s="7"/>
      <c r="H150" s="7">
        <f t="shared" si="8"/>
        <v>5.2054938142168166E-3</v>
      </c>
      <c r="I150" s="7"/>
    </row>
    <row r="151" spans="1:9" x14ac:dyDescent="0.25">
      <c r="A151" s="5">
        <v>150</v>
      </c>
      <c r="B151" s="6">
        <v>44045</v>
      </c>
      <c r="C151" s="7">
        <v>1799</v>
      </c>
      <c r="D151" s="7">
        <f t="shared" si="10"/>
        <v>17729</v>
      </c>
      <c r="E151" s="7">
        <f t="shared" si="9"/>
        <v>190459</v>
      </c>
      <c r="F151" s="7">
        <f>$L$2-SUM(D151,E151)</f>
        <v>9795953</v>
      </c>
      <c r="G151" s="7"/>
      <c r="H151" s="7">
        <f t="shared" si="8"/>
        <v>1.0490446762820344E-2</v>
      </c>
      <c r="I151" s="7"/>
    </row>
    <row r="152" spans="1:9" x14ac:dyDescent="0.25">
      <c r="A152" s="5">
        <v>151</v>
      </c>
      <c r="B152" s="6">
        <v>44046</v>
      </c>
      <c r="C152" s="7">
        <v>3362</v>
      </c>
      <c r="D152" s="7">
        <f t="shared" si="10"/>
        <v>18243</v>
      </c>
      <c r="E152" s="7">
        <f t="shared" si="9"/>
        <v>191560</v>
      </c>
      <c r="F152" s="7">
        <f>$L$2-SUM(D152,E152)</f>
        <v>9794338</v>
      </c>
      <c r="G152" s="7"/>
      <c r="H152" s="7">
        <f t="shared" si="8"/>
        <v>9.1198580079348505E-3</v>
      </c>
      <c r="I152" s="7"/>
    </row>
    <row r="153" spans="1:9" x14ac:dyDescent="0.25">
      <c r="A153" s="5">
        <v>152</v>
      </c>
      <c r="B153" s="6">
        <v>44047</v>
      </c>
      <c r="C153" s="7">
        <v>3304</v>
      </c>
      <c r="D153" s="7">
        <f t="shared" si="10"/>
        <v>20267</v>
      </c>
      <c r="E153" s="7">
        <f t="shared" si="9"/>
        <v>190316</v>
      </c>
      <c r="F153" s="7">
        <f>$L$2-SUM(D153,E153)</f>
        <v>9793558</v>
      </c>
      <c r="G153" s="7"/>
      <c r="H153" s="7">
        <f t="shared" si="8"/>
        <v>1.3262153471069169E-2</v>
      </c>
      <c r="I153" s="7"/>
    </row>
    <row r="154" spans="1:9" x14ac:dyDescent="0.25">
      <c r="A154" s="5">
        <v>153</v>
      </c>
      <c r="B154" s="6">
        <v>44048</v>
      </c>
      <c r="C154" s="7">
        <v>3045</v>
      </c>
      <c r="D154" s="7">
        <f t="shared" si="10"/>
        <v>20533</v>
      </c>
      <c r="E154" s="7">
        <f t="shared" si="9"/>
        <v>191297</v>
      </c>
      <c r="F154" s="7">
        <f>$L$2-SUM(D154,E154)</f>
        <v>9792311</v>
      </c>
      <c r="G154" s="7"/>
      <c r="H154" s="7">
        <f t="shared" si="8"/>
        <v>9.3989973705808239E-3</v>
      </c>
      <c r="I154" s="7"/>
    </row>
    <row r="155" spans="1:9" x14ac:dyDescent="0.25">
      <c r="A155" s="5">
        <v>154</v>
      </c>
      <c r="B155" s="6">
        <v>44049</v>
      </c>
      <c r="C155" s="7">
        <v>3167</v>
      </c>
      <c r="D155" s="7">
        <f t="shared" si="10"/>
        <v>20611</v>
      </c>
      <c r="E155" s="7">
        <f t="shared" si="9"/>
        <v>192978</v>
      </c>
      <c r="F155" s="7">
        <f>$L$2-SUM(D155,E155)</f>
        <v>9790552</v>
      </c>
      <c r="G155" s="7"/>
      <c r="H155" s="7">
        <f t="shared" si="8"/>
        <v>7.2961684751629719E-3</v>
      </c>
      <c r="I155" s="7"/>
    </row>
    <row r="156" spans="1:9" x14ac:dyDescent="0.25">
      <c r="A156" s="5">
        <v>155</v>
      </c>
      <c r="B156" s="6">
        <v>44050</v>
      </c>
      <c r="C156" s="7">
        <v>2746</v>
      </c>
      <c r="D156" s="7">
        <f t="shared" si="10"/>
        <v>20407</v>
      </c>
      <c r="E156" s="7">
        <f t="shared" si="9"/>
        <v>193993</v>
      </c>
      <c r="F156" s="7">
        <f>$L$2-SUM(D156,E156)</f>
        <v>9789741</v>
      </c>
      <c r="G156" s="7"/>
      <c r="H156" s="7">
        <f t="shared" si="8"/>
        <v>9.974586711891666E-3</v>
      </c>
      <c r="I156" s="7"/>
    </row>
    <row r="157" spans="1:9" x14ac:dyDescent="0.25">
      <c r="A157" s="5">
        <v>156</v>
      </c>
      <c r="B157" s="6">
        <v>44051</v>
      </c>
      <c r="C157" s="7">
        <v>2865</v>
      </c>
      <c r="D157" s="7">
        <f t="shared" si="10"/>
        <v>20288</v>
      </c>
      <c r="E157" s="7">
        <f t="shared" si="9"/>
        <v>195754</v>
      </c>
      <c r="F157" s="7">
        <f>$L$2-SUM(D157,E157)</f>
        <v>9788099</v>
      </c>
      <c r="G157" s="7"/>
      <c r="H157" s="7">
        <f t="shared" si="8"/>
        <v>6.247637340743995E-3</v>
      </c>
      <c r="I157" s="7"/>
    </row>
    <row r="158" spans="1:9" x14ac:dyDescent="0.25">
      <c r="A158" s="5">
        <v>157</v>
      </c>
      <c r="B158" s="6">
        <v>44052</v>
      </c>
      <c r="C158" s="7">
        <v>1889</v>
      </c>
      <c r="D158" s="7">
        <f t="shared" si="10"/>
        <v>20378</v>
      </c>
      <c r="E158" s="7">
        <f t="shared" si="9"/>
        <v>195172</v>
      </c>
      <c r="F158" s="7">
        <f>$L$2-SUM(D158,E158)</f>
        <v>9788591</v>
      </c>
      <c r="G158" s="7"/>
      <c r="H158" s="7">
        <f t="shared" si="8"/>
        <v>1.2199495829319779E-2</v>
      </c>
      <c r="I158" s="7"/>
    </row>
    <row r="159" spans="1:9" x14ac:dyDescent="0.25">
      <c r="A159" s="5">
        <v>158</v>
      </c>
      <c r="B159" s="6">
        <v>44053</v>
      </c>
      <c r="C159" s="7">
        <v>2987</v>
      </c>
      <c r="D159" s="7">
        <f t="shared" si="10"/>
        <v>20003</v>
      </c>
      <c r="E159" s="7">
        <f t="shared" si="9"/>
        <v>196109</v>
      </c>
      <c r="F159" s="7">
        <f>$L$2-SUM(D159,E159)</f>
        <v>9788029</v>
      </c>
      <c r="G159" s="7"/>
      <c r="H159" s="7">
        <f t="shared" si="8"/>
        <v>1.2365572207292883E-2</v>
      </c>
      <c r="I159" s="7"/>
    </row>
    <row r="160" spans="1:9" x14ac:dyDescent="0.25">
      <c r="A160" s="5">
        <v>159</v>
      </c>
      <c r="B160" s="6">
        <v>44054</v>
      </c>
      <c r="C160" s="7">
        <v>3583</v>
      </c>
      <c r="D160" s="7">
        <f t="shared" si="10"/>
        <v>20282</v>
      </c>
      <c r="E160" s="7">
        <f t="shared" si="9"/>
        <v>197147</v>
      </c>
      <c r="F160" s="7">
        <f>$L$2-SUM(D160,E160)</f>
        <v>9786712</v>
      </c>
      <c r="G160" s="7"/>
      <c r="H160" s="7">
        <f t="shared" si="8"/>
        <v>1.149396135878304E-2</v>
      </c>
      <c r="I160" s="7"/>
    </row>
    <row r="161" spans="1:9" x14ac:dyDescent="0.25">
      <c r="A161" s="5">
        <v>160</v>
      </c>
      <c r="B161" s="6">
        <v>44055</v>
      </c>
      <c r="C161" s="7">
        <v>4020</v>
      </c>
      <c r="D161" s="7">
        <f t="shared" si="10"/>
        <v>21257</v>
      </c>
      <c r="E161" s="7">
        <f t="shared" si="9"/>
        <v>197821</v>
      </c>
      <c r="F161" s="7">
        <f>$L$2-SUM(D161,E161)</f>
        <v>9785063</v>
      </c>
      <c r="G161" s="7"/>
      <c r="H161" s="7">
        <f t="shared" si="8"/>
        <v>1.1985582925978537E-2</v>
      </c>
      <c r="I161" s="7"/>
    </row>
    <row r="162" spans="1:9" x14ac:dyDescent="0.25">
      <c r="A162" s="5">
        <v>161</v>
      </c>
      <c r="B162" s="6">
        <v>44056</v>
      </c>
      <c r="C162" s="7">
        <v>3539</v>
      </c>
      <c r="D162" s="7">
        <f t="shared" si="10"/>
        <v>21629</v>
      </c>
      <c r="E162" s="7">
        <f t="shared" si="9"/>
        <v>198972</v>
      </c>
      <c r="F162" s="7">
        <f>$L$2-SUM(D162,E162)</f>
        <v>9783540</v>
      </c>
      <c r="G162" s="7"/>
      <c r="H162" s="7">
        <f t="shared" si="8"/>
        <v>1.0132078885471322E-2</v>
      </c>
      <c r="I162" s="7"/>
    </row>
    <row r="163" spans="1:9" x14ac:dyDescent="0.25">
      <c r="A163" s="5">
        <v>162</v>
      </c>
      <c r="B163" s="6">
        <v>44057</v>
      </c>
      <c r="C163" s="7">
        <v>3954</v>
      </c>
      <c r="D163" s="7">
        <f t="shared" si="10"/>
        <v>22837</v>
      </c>
      <c r="E163" s="7">
        <f t="shared" si="9"/>
        <v>200308</v>
      </c>
      <c r="F163" s="7">
        <f>$L$2-SUM(D163,E163)</f>
        <v>9780996</v>
      </c>
      <c r="G163" s="7"/>
      <c r="H163" s="7">
        <f t="shared" ref="H163:H226" si="11">C66/E163</f>
        <v>7.0391596940711301E-3</v>
      </c>
      <c r="I163" s="7"/>
    </row>
    <row r="164" spans="1:9" x14ac:dyDescent="0.25">
      <c r="A164" s="5">
        <v>163</v>
      </c>
      <c r="B164" s="6">
        <v>44058</v>
      </c>
      <c r="C164" s="7">
        <v>3744</v>
      </c>
      <c r="D164" s="7">
        <f t="shared" si="10"/>
        <v>23716</v>
      </c>
      <c r="E164" s="7">
        <f t="shared" ref="E164:E227" si="12">SUM(C68:C157)</f>
        <v>202574</v>
      </c>
      <c r="F164" s="7">
        <f>$L$2-SUM(D164,E164)</f>
        <v>9777851</v>
      </c>
      <c r="G164" s="7"/>
      <c r="H164" s="7">
        <f t="shared" si="11"/>
        <v>2.9569441290590104E-3</v>
      </c>
      <c r="I164" s="7"/>
    </row>
    <row r="165" spans="1:9" x14ac:dyDescent="0.25">
      <c r="A165" s="5">
        <v>164</v>
      </c>
      <c r="B165" s="6">
        <v>44059</v>
      </c>
      <c r="C165" s="7">
        <v>2162</v>
      </c>
      <c r="D165" s="7">
        <f t="shared" si="10"/>
        <v>23989</v>
      </c>
      <c r="E165" s="7">
        <f t="shared" si="12"/>
        <v>202113</v>
      </c>
      <c r="F165" s="7">
        <f>$L$2-SUM(D165,E165)</f>
        <v>9778039</v>
      </c>
      <c r="G165" s="7"/>
      <c r="H165" s="7">
        <f t="shared" si="11"/>
        <v>1.1627159064483729E-2</v>
      </c>
      <c r="I165" s="7"/>
    </row>
    <row r="166" spans="1:9" x14ac:dyDescent="0.25">
      <c r="A166" s="5">
        <v>165</v>
      </c>
      <c r="B166" s="6">
        <v>44060</v>
      </c>
      <c r="C166" s="7">
        <v>3900</v>
      </c>
      <c r="D166" s="7">
        <f t="shared" si="10"/>
        <v>24902</v>
      </c>
      <c r="E166" s="7">
        <f t="shared" si="12"/>
        <v>202168</v>
      </c>
      <c r="F166" s="7">
        <f>$L$2-SUM(D166,E166)</f>
        <v>9777071</v>
      </c>
      <c r="G166" s="7"/>
      <c r="H166" s="7">
        <f t="shared" si="11"/>
        <v>1.4502789759012306E-2</v>
      </c>
      <c r="I166" s="7"/>
    </row>
    <row r="167" spans="1:9" x14ac:dyDescent="0.25">
      <c r="A167" s="5">
        <v>166</v>
      </c>
      <c r="B167" s="6">
        <v>44061</v>
      </c>
      <c r="C167" s="7">
        <v>3725</v>
      </c>
      <c r="D167" s="7">
        <f t="shared" si="10"/>
        <v>25044</v>
      </c>
      <c r="E167" s="7">
        <f t="shared" si="12"/>
        <v>202953</v>
      </c>
      <c r="F167" s="7">
        <f>$L$2-SUM(D167,E167)</f>
        <v>9776144</v>
      </c>
      <c r="G167" s="7"/>
      <c r="H167" s="7">
        <f t="shared" si="11"/>
        <v>1.3786443166644494E-2</v>
      </c>
      <c r="I167" s="7"/>
    </row>
    <row r="168" spans="1:9" x14ac:dyDescent="0.25">
      <c r="A168" s="5">
        <v>167</v>
      </c>
      <c r="B168" s="6">
        <v>44062</v>
      </c>
      <c r="C168" s="7">
        <v>3675</v>
      </c>
      <c r="D168" s="7">
        <f t="shared" si="10"/>
        <v>24699</v>
      </c>
      <c r="E168" s="7">
        <f t="shared" si="12"/>
        <v>204830</v>
      </c>
      <c r="F168" s="7">
        <f>$L$2-SUM(D168,E168)</f>
        <v>9774612</v>
      </c>
      <c r="G168" s="7"/>
      <c r="H168" s="7">
        <f t="shared" si="11"/>
        <v>1.0462334618952301E-2</v>
      </c>
      <c r="I168" s="7"/>
    </row>
    <row r="169" spans="1:9" x14ac:dyDescent="0.25">
      <c r="A169" s="5">
        <v>168</v>
      </c>
      <c r="B169" s="6">
        <v>44063</v>
      </c>
      <c r="C169" s="7">
        <v>3092</v>
      </c>
      <c r="D169" s="7">
        <f t="shared" si="10"/>
        <v>24252</v>
      </c>
      <c r="E169" s="7">
        <f t="shared" si="12"/>
        <v>205936</v>
      </c>
      <c r="F169" s="7">
        <f>$L$2-SUM(D169,E169)</f>
        <v>9773953</v>
      </c>
      <c r="G169" s="7"/>
      <c r="H169" s="7">
        <f t="shared" si="11"/>
        <v>1.1814350089348146E-2</v>
      </c>
      <c r="I169" s="7"/>
    </row>
    <row r="170" spans="1:9" x14ac:dyDescent="0.25">
      <c r="A170" s="5">
        <v>169</v>
      </c>
      <c r="B170" s="6">
        <v>44064</v>
      </c>
      <c r="C170" s="7">
        <v>3251</v>
      </c>
      <c r="D170" s="7">
        <f t="shared" si="10"/>
        <v>23549</v>
      </c>
      <c r="E170" s="7">
        <f t="shared" si="12"/>
        <v>207495</v>
      </c>
      <c r="F170" s="7">
        <f>$L$2-SUM(D170,E170)</f>
        <v>9773097</v>
      </c>
      <c r="G170" s="7"/>
      <c r="H170" s="7">
        <f t="shared" si="11"/>
        <v>1.1542446805947132E-2</v>
      </c>
      <c r="I170" s="7"/>
    </row>
    <row r="171" spans="1:9" x14ac:dyDescent="0.25">
      <c r="A171" s="5">
        <v>170</v>
      </c>
      <c r="B171" s="6">
        <v>44065</v>
      </c>
      <c r="C171" s="7">
        <v>2774</v>
      </c>
      <c r="D171" s="7">
        <f t="shared" si="10"/>
        <v>22579</v>
      </c>
      <c r="E171" s="7">
        <f t="shared" si="12"/>
        <v>209947</v>
      </c>
      <c r="F171" s="7">
        <f>$L$2-SUM(D171,E171)</f>
        <v>9771615</v>
      </c>
      <c r="G171" s="7"/>
      <c r="H171" s="7">
        <f t="shared" si="11"/>
        <v>6.1539340881270038E-3</v>
      </c>
      <c r="I171" s="7"/>
    </row>
    <row r="172" spans="1:9" x14ac:dyDescent="0.25">
      <c r="A172" s="5">
        <v>171</v>
      </c>
      <c r="B172" s="6">
        <v>44066</v>
      </c>
      <c r="C172" s="7">
        <v>1203</v>
      </c>
      <c r="D172" s="7">
        <f t="shared" si="10"/>
        <v>21620</v>
      </c>
      <c r="E172" s="7">
        <f t="shared" si="12"/>
        <v>209024</v>
      </c>
      <c r="F172" s="7">
        <f>$L$2-SUM(D172,E172)</f>
        <v>9773497</v>
      </c>
      <c r="G172" s="7"/>
      <c r="H172" s="7">
        <f t="shared" si="11"/>
        <v>1.4759070728720148E-2</v>
      </c>
      <c r="I172" s="7"/>
    </row>
    <row r="173" spans="1:9" x14ac:dyDescent="0.25">
      <c r="A173" s="5">
        <v>172</v>
      </c>
      <c r="B173" s="6">
        <v>44067</v>
      </c>
      <c r="C173" s="7">
        <v>2895</v>
      </c>
      <c r="D173" s="7">
        <f t="shared" si="10"/>
        <v>20615</v>
      </c>
      <c r="E173" s="7">
        <f t="shared" si="12"/>
        <v>210117</v>
      </c>
      <c r="F173" s="7">
        <f>$L$2-SUM(D173,E173)</f>
        <v>9773409</v>
      </c>
      <c r="G173" s="7"/>
      <c r="H173" s="7">
        <f t="shared" si="11"/>
        <v>1.3359223670621607E-2</v>
      </c>
      <c r="I173" s="7"/>
    </row>
    <row r="174" spans="1:9" x14ac:dyDescent="0.25">
      <c r="A174" s="5">
        <v>173</v>
      </c>
      <c r="B174" s="6">
        <v>44068</v>
      </c>
      <c r="C174" s="7">
        <v>3206</v>
      </c>
      <c r="D174" s="7">
        <f t="shared" si="10"/>
        <v>20096</v>
      </c>
      <c r="E174" s="7">
        <f t="shared" si="12"/>
        <v>210889</v>
      </c>
      <c r="F174" s="7">
        <f>$L$2-SUM(D174,E174)</f>
        <v>9773156</v>
      </c>
      <c r="G174" s="7"/>
      <c r="H174" s="7">
        <f t="shared" si="11"/>
        <v>1.4002626974379886E-2</v>
      </c>
      <c r="I174" s="7"/>
    </row>
    <row r="175" spans="1:9" x14ac:dyDescent="0.25">
      <c r="A175" s="5">
        <v>174</v>
      </c>
      <c r="B175" s="6">
        <v>44069</v>
      </c>
      <c r="C175" s="7">
        <v>3326</v>
      </c>
      <c r="D175" s="7">
        <f t="shared" si="10"/>
        <v>19747</v>
      </c>
      <c r="E175" s="7">
        <f t="shared" si="12"/>
        <v>211596</v>
      </c>
      <c r="F175" s="7">
        <f>$L$2-SUM(D175,E175)</f>
        <v>9772798</v>
      </c>
      <c r="G175" s="7"/>
      <c r="H175" s="7">
        <f t="shared" si="11"/>
        <v>1.4026730183935424E-2</v>
      </c>
      <c r="I175" s="7"/>
    </row>
    <row r="176" spans="1:9" x14ac:dyDescent="0.25">
      <c r="A176" s="5">
        <v>175</v>
      </c>
      <c r="B176" s="6">
        <v>44070</v>
      </c>
      <c r="C176" s="7">
        <v>3194</v>
      </c>
      <c r="D176" s="7">
        <f t="shared" si="10"/>
        <v>19849</v>
      </c>
      <c r="E176" s="7">
        <f t="shared" si="12"/>
        <v>211262</v>
      </c>
      <c r="F176" s="7">
        <f>$L$2-SUM(D176,E176)</f>
        <v>9773030</v>
      </c>
      <c r="G176" s="7"/>
      <c r="H176" s="7">
        <f t="shared" si="11"/>
        <v>1.6216830286563604E-2</v>
      </c>
      <c r="I176" s="7"/>
    </row>
    <row r="177" spans="1:9" x14ac:dyDescent="0.25">
      <c r="A177" s="5">
        <v>176</v>
      </c>
      <c r="B177" s="6">
        <v>44071</v>
      </c>
      <c r="C177" s="7">
        <v>3937</v>
      </c>
      <c r="D177" s="7">
        <f t="shared" si="10"/>
        <v>20535</v>
      </c>
      <c r="E177" s="7">
        <f t="shared" si="12"/>
        <v>211461</v>
      </c>
      <c r="F177" s="7">
        <f>$L$2-SUM(D177,E177)</f>
        <v>9772145</v>
      </c>
      <c r="G177" s="7"/>
      <c r="H177" s="7">
        <f t="shared" si="11"/>
        <v>1.4432921437049858E-2</v>
      </c>
      <c r="I177" s="7"/>
    </row>
    <row r="178" spans="1:9" x14ac:dyDescent="0.25">
      <c r="A178" s="5">
        <v>177</v>
      </c>
      <c r="B178" s="6">
        <v>44072</v>
      </c>
      <c r="C178" s="7">
        <v>2636</v>
      </c>
      <c r="D178" s="7">
        <f t="shared" si="10"/>
        <v>20397</v>
      </c>
      <c r="E178" s="7">
        <f t="shared" si="12"/>
        <v>213252</v>
      </c>
      <c r="F178" s="7">
        <f>$L$2-SUM(D178,E178)</f>
        <v>9770492</v>
      </c>
      <c r="G178" s="7"/>
      <c r="H178" s="7">
        <f t="shared" si="11"/>
        <v>4.6095698985238118E-3</v>
      </c>
      <c r="I178" s="7"/>
    </row>
    <row r="179" spans="1:9" x14ac:dyDescent="0.25">
      <c r="A179" s="5">
        <v>178</v>
      </c>
      <c r="B179" s="6">
        <v>44073</v>
      </c>
      <c r="C179" s="7">
        <v>1266</v>
      </c>
      <c r="D179" s="7">
        <f t="shared" si="10"/>
        <v>20460</v>
      </c>
      <c r="E179" s="7">
        <f t="shared" si="12"/>
        <v>210308</v>
      </c>
      <c r="F179" s="7">
        <f>$L$2-SUM(D179,E179)</f>
        <v>9773373</v>
      </c>
      <c r="G179" s="7"/>
      <c r="H179" s="7">
        <f t="shared" si="11"/>
        <v>1.9718698290126863E-2</v>
      </c>
      <c r="I179" s="7"/>
    </row>
    <row r="180" spans="1:9" x14ac:dyDescent="0.25">
      <c r="A180" s="5">
        <v>179</v>
      </c>
      <c r="B180" s="6">
        <v>44074</v>
      </c>
      <c r="C180" s="7">
        <v>2551</v>
      </c>
      <c r="D180" s="7">
        <f t="shared" si="10"/>
        <v>20116</v>
      </c>
      <c r="E180" s="7">
        <f t="shared" si="12"/>
        <v>209101</v>
      </c>
      <c r="F180" s="7">
        <f>$L$2-SUM(D180,E180)</f>
        <v>9774924</v>
      </c>
      <c r="G180" s="7"/>
      <c r="H180" s="7">
        <f t="shared" si="11"/>
        <v>1.9617314120927206E-2</v>
      </c>
      <c r="I180" s="7"/>
    </row>
    <row r="181" spans="1:9" x14ac:dyDescent="0.25">
      <c r="A181" s="5">
        <v>180</v>
      </c>
      <c r="B181" s="6">
        <v>44075</v>
      </c>
      <c r="C181" s="7">
        <v>2463</v>
      </c>
      <c r="D181" s="7">
        <f t="shared" si="10"/>
        <v>19373</v>
      </c>
      <c r="E181" s="7">
        <f t="shared" si="12"/>
        <v>208022</v>
      </c>
      <c r="F181" s="7">
        <f>$L$2-SUM(D181,E181)</f>
        <v>9776746</v>
      </c>
      <c r="G181" s="7"/>
      <c r="H181" s="7">
        <f t="shared" si="11"/>
        <v>2.0598782821047774E-2</v>
      </c>
      <c r="I181" s="7"/>
    </row>
    <row r="182" spans="1:9" x14ac:dyDescent="0.25">
      <c r="A182" s="5">
        <v>181</v>
      </c>
      <c r="B182" s="6">
        <v>44076</v>
      </c>
      <c r="C182" s="7">
        <v>2465</v>
      </c>
      <c r="D182" s="7">
        <f t="shared" si="10"/>
        <v>18512</v>
      </c>
      <c r="E182" s="7">
        <f t="shared" si="12"/>
        <v>207759</v>
      </c>
      <c r="F182" s="7">
        <f>$L$2-SUM(D182,E182)</f>
        <v>9777870</v>
      </c>
      <c r="G182" s="7"/>
      <c r="H182" s="7">
        <f t="shared" si="11"/>
        <v>1.7274823232687874E-2</v>
      </c>
      <c r="I182" s="7"/>
    </row>
    <row r="183" spans="1:9" x14ac:dyDescent="0.25">
      <c r="A183" s="5">
        <v>182</v>
      </c>
      <c r="B183" s="6">
        <v>44077</v>
      </c>
      <c r="C183" s="7">
        <v>1895</v>
      </c>
      <c r="D183" s="7">
        <f t="shared" si="10"/>
        <v>17213</v>
      </c>
      <c r="E183" s="7">
        <f t="shared" si="12"/>
        <v>207703</v>
      </c>
      <c r="F183" s="7">
        <f>$L$2-SUM(D183,E183)</f>
        <v>9779225</v>
      </c>
      <c r="G183" s="7"/>
      <c r="H183" s="7">
        <f t="shared" si="11"/>
        <v>1.5647342599769864E-2</v>
      </c>
      <c r="I183" s="7"/>
    </row>
    <row r="184" spans="1:9" x14ac:dyDescent="0.25">
      <c r="A184" s="5">
        <v>183</v>
      </c>
      <c r="B184" s="6">
        <v>44078</v>
      </c>
      <c r="C184" s="7">
        <v>3282</v>
      </c>
      <c r="D184" s="7">
        <f t="shared" si="10"/>
        <v>16558</v>
      </c>
      <c r="E184" s="7">
        <f t="shared" si="12"/>
        <v>208997</v>
      </c>
      <c r="F184" s="7">
        <f>$L$2-SUM(D184,E184)</f>
        <v>9778586</v>
      </c>
      <c r="G184" s="7"/>
      <c r="H184" s="7">
        <f t="shared" si="11"/>
        <v>1.2646114537529247E-2</v>
      </c>
      <c r="I184" s="7"/>
    </row>
    <row r="185" spans="1:9" x14ac:dyDescent="0.25">
      <c r="A185" s="5">
        <v>184</v>
      </c>
      <c r="B185" s="6">
        <v>44079</v>
      </c>
      <c r="C185" s="7">
        <v>1819</v>
      </c>
      <c r="D185" s="7">
        <f t="shared" si="10"/>
        <v>15741</v>
      </c>
      <c r="E185" s="7">
        <f t="shared" si="12"/>
        <v>210221</v>
      </c>
      <c r="F185" s="7">
        <f>$L$2-SUM(D185,E185)</f>
        <v>9778179</v>
      </c>
      <c r="G185" s="7"/>
      <c r="H185" s="7">
        <f t="shared" si="11"/>
        <v>6.7167409535679118E-3</v>
      </c>
      <c r="I185" s="7"/>
    </row>
    <row r="186" spans="1:9" x14ac:dyDescent="0.25">
      <c r="A186" s="5">
        <v>185</v>
      </c>
      <c r="B186" s="6">
        <v>44080</v>
      </c>
      <c r="C186" s="7">
        <v>939</v>
      </c>
      <c r="D186" s="7">
        <f t="shared" si="10"/>
        <v>15414</v>
      </c>
      <c r="E186" s="7">
        <f t="shared" si="12"/>
        <v>209350</v>
      </c>
      <c r="F186" s="7">
        <f>$L$2-SUM(D186,E186)</f>
        <v>9779377</v>
      </c>
      <c r="G186" s="7"/>
      <c r="H186" s="7">
        <f t="shared" si="11"/>
        <v>1.0207786004299021E-2</v>
      </c>
      <c r="I186" s="7"/>
    </row>
    <row r="187" spans="1:9" x14ac:dyDescent="0.25">
      <c r="A187" s="5">
        <v>186</v>
      </c>
      <c r="B187" s="6">
        <v>44081</v>
      </c>
      <c r="C187" s="7">
        <v>2386</v>
      </c>
      <c r="D187" s="7">
        <f t="shared" si="10"/>
        <v>15249</v>
      </c>
      <c r="E187" s="7">
        <f t="shared" si="12"/>
        <v>209933</v>
      </c>
      <c r="F187" s="7">
        <f>$L$2-SUM(D187,E187)</f>
        <v>9778959</v>
      </c>
      <c r="G187" s="7"/>
      <c r="H187" s="7">
        <f t="shared" si="11"/>
        <v>9.3744194576364844E-3</v>
      </c>
      <c r="I187" s="7"/>
    </row>
    <row r="188" spans="1:9" x14ac:dyDescent="0.25">
      <c r="A188" s="5">
        <v>187</v>
      </c>
      <c r="B188" s="6">
        <v>44082</v>
      </c>
      <c r="C188" s="7">
        <v>2196</v>
      </c>
      <c r="D188" s="7">
        <f t="shared" si="10"/>
        <v>14982</v>
      </c>
      <c r="E188" s="7">
        <f t="shared" si="12"/>
        <v>211312</v>
      </c>
      <c r="F188" s="7">
        <f>$L$2-SUM(D188,E188)</f>
        <v>9777847</v>
      </c>
      <c r="G188" s="7"/>
      <c r="H188" s="7">
        <f t="shared" si="11"/>
        <v>5.1298553797228738E-3</v>
      </c>
      <c r="I188" s="7"/>
    </row>
    <row r="189" spans="1:9" x14ac:dyDescent="0.25">
      <c r="A189" s="5">
        <v>188</v>
      </c>
      <c r="B189" s="6">
        <v>44083</v>
      </c>
      <c r="C189" s="7">
        <v>2636</v>
      </c>
      <c r="D189" s="7">
        <f t="shared" si="10"/>
        <v>15153</v>
      </c>
      <c r="E189" s="7">
        <f t="shared" si="12"/>
        <v>211855</v>
      </c>
      <c r="F189" s="7">
        <f>$L$2-SUM(D189,E189)</f>
        <v>9777133</v>
      </c>
      <c r="G189" s="7"/>
      <c r="H189" s="7">
        <f t="shared" si="11"/>
        <v>9.0722428075806563E-3</v>
      </c>
      <c r="I189" s="7"/>
    </row>
    <row r="190" spans="1:9" x14ac:dyDescent="0.25">
      <c r="A190" s="5">
        <v>189</v>
      </c>
      <c r="B190" s="6">
        <v>44084</v>
      </c>
      <c r="C190" s="7">
        <v>1503</v>
      </c>
      <c r="D190" s="7">
        <f t="shared" si="10"/>
        <v>14761</v>
      </c>
      <c r="E190" s="7">
        <f t="shared" si="12"/>
        <v>210874</v>
      </c>
      <c r="F190" s="7">
        <f>$L$2-SUM(D190,E190)</f>
        <v>9778506</v>
      </c>
      <c r="G190" s="7"/>
      <c r="H190" s="7">
        <f t="shared" si="11"/>
        <v>1.3638476056792208E-2</v>
      </c>
      <c r="I190" s="7"/>
    </row>
    <row r="191" spans="1:9" x14ac:dyDescent="0.25">
      <c r="A191" s="5">
        <v>190</v>
      </c>
      <c r="B191" s="6">
        <v>44085</v>
      </c>
      <c r="C191" s="7">
        <v>4011</v>
      </c>
      <c r="D191" s="7">
        <f t="shared" si="10"/>
        <v>15490</v>
      </c>
      <c r="E191" s="7">
        <f t="shared" si="12"/>
        <v>211566</v>
      </c>
      <c r="F191" s="7">
        <f>$L$2-SUM(D191,E191)</f>
        <v>9777085</v>
      </c>
      <c r="G191" s="7"/>
      <c r="H191" s="7">
        <f t="shared" si="11"/>
        <v>1.224204267226303E-2</v>
      </c>
      <c r="I191" s="7"/>
    </row>
    <row r="192" spans="1:9" x14ac:dyDescent="0.25">
      <c r="A192" s="5">
        <v>191</v>
      </c>
      <c r="B192" s="6">
        <v>44086</v>
      </c>
      <c r="C192" s="7">
        <v>2176</v>
      </c>
      <c r="D192" s="7">
        <f t="shared" si="10"/>
        <v>15847</v>
      </c>
      <c r="E192" s="7">
        <f t="shared" si="12"/>
        <v>211588</v>
      </c>
      <c r="F192" s="7">
        <f>$L$2-SUM(D192,E192)</f>
        <v>9776706</v>
      </c>
      <c r="G192" s="7"/>
      <c r="H192" s="7">
        <f t="shared" si="11"/>
        <v>8.4929202034141824E-3</v>
      </c>
      <c r="I192" s="7"/>
    </row>
    <row r="193" spans="1:9" x14ac:dyDescent="0.25">
      <c r="A193" s="5">
        <v>192</v>
      </c>
      <c r="B193" s="6">
        <v>44087</v>
      </c>
      <c r="C193" s="7">
        <v>1046</v>
      </c>
      <c r="D193" s="7">
        <f t="shared" si="10"/>
        <v>15954</v>
      </c>
      <c r="E193" s="7">
        <f t="shared" si="12"/>
        <v>210187</v>
      </c>
      <c r="F193" s="7">
        <f>$L$2-SUM(D193,E193)</f>
        <v>9778000</v>
      </c>
      <c r="G193" s="7"/>
      <c r="H193" s="7">
        <f t="shared" si="11"/>
        <v>1.1132943521721134E-2</v>
      </c>
      <c r="I193" s="7"/>
    </row>
    <row r="194" spans="1:9" x14ac:dyDescent="0.25">
      <c r="A194" s="5">
        <v>193</v>
      </c>
      <c r="B194" s="6">
        <v>44088</v>
      </c>
      <c r="C194" s="7">
        <v>1949</v>
      </c>
      <c r="D194" s="7">
        <f t="shared" si="10"/>
        <v>15517</v>
      </c>
      <c r="E194" s="7">
        <f t="shared" si="12"/>
        <v>209686</v>
      </c>
      <c r="F194" s="7">
        <f>$L$2-SUM(D194,E194)</f>
        <v>9778938</v>
      </c>
      <c r="G194" s="7"/>
      <c r="H194" s="7">
        <f t="shared" si="11"/>
        <v>1.3768205793424453E-2</v>
      </c>
      <c r="I194" s="7"/>
    </row>
    <row r="195" spans="1:9" x14ac:dyDescent="0.25">
      <c r="A195" s="5">
        <v>194</v>
      </c>
      <c r="B195" s="6">
        <v>44089</v>
      </c>
      <c r="C195" s="7">
        <v>1936</v>
      </c>
      <c r="D195" s="7">
        <f t="shared" si="10"/>
        <v>15257</v>
      </c>
      <c r="E195" s="7">
        <f t="shared" si="12"/>
        <v>208998</v>
      </c>
      <c r="F195" s="7">
        <f>$L$2-SUM(D195,E195)</f>
        <v>9779886</v>
      </c>
      <c r="G195" s="7"/>
      <c r="H195" s="7">
        <f t="shared" si="11"/>
        <v>1.3799175111723558E-2</v>
      </c>
      <c r="I195" s="7"/>
    </row>
    <row r="196" spans="1:9" x14ac:dyDescent="0.25">
      <c r="A196" s="5">
        <v>195</v>
      </c>
      <c r="B196" s="6">
        <v>44090</v>
      </c>
      <c r="C196" s="7">
        <v>2059</v>
      </c>
      <c r="D196" s="7">
        <f t="shared" si="10"/>
        <v>14680</v>
      </c>
      <c r="E196" s="7">
        <f t="shared" si="12"/>
        <v>208365</v>
      </c>
      <c r="F196" s="7">
        <f>$L$2-SUM(D196,E196)</f>
        <v>9781096</v>
      </c>
      <c r="G196" s="7"/>
      <c r="H196" s="7">
        <f t="shared" si="11"/>
        <v>1.5688815300074387E-2</v>
      </c>
      <c r="I196" s="7"/>
    </row>
    <row r="197" spans="1:9" x14ac:dyDescent="0.25">
      <c r="A197" s="5">
        <v>196</v>
      </c>
      <c r="B197" s="6">
        <v>44091</v>
      </c>
      <c r="C197" s="7">
        <v>2698</v>
      </c>
      <c r="D197" s="7">
        <f t="shared" si="10"/>
        <v>15875</v>
      </c>
      <c r="E197" s="7">
        <f t="shared" si="12"/>
        <v>207445</v>
      </c>
      <c r="F197" s="7">
        <f>$L$2-SUM(D197,E197)</f>
        <v>9780821</v>
      </c>
      <c r="G197" s="7"/>
      <c r="H197" s="7">
        <f t="shared" si="11"/>
        <v>1.1680204391525464E-2</v>
      </c>
      <c r="I197" s="7"/>
    </row>
    <row r="198" spans="1:9" x14ac:dyDescent="0.25">
      <c r="A198" s="5">
        <v>197</v>
      </c>
      <c r="B198" s="6">
        <v>44092</v>
      </c>
      <c r="C198" s="7">
        <v>2466</v>
      </c>
      <c r="D198" s="7">
        <f t="shared" si="10"/>
        <v>14330</v>
      </c>
      <c r="E198" s="7">
        <f t="shared" si="12"/>
        <v>209250</v>
      </c>
      <c r="F198" s="7">
        <f>$L$2-SUM(D198,E198)</f>
        <v>9780561</v>
      </c>
      <c r="G198" s="7"/>
      <c r="H198" s="7">
        <f t="shared" si="11"/>
        <v>1.0542413381123059E-2</v>
      </c>
      <c r="I198" s="7"/>
    </row>
    <row r="199" spans="1:9" x14ac:dyDescent="0.25">
      <c r="A199" s="5">
        <v>198</v>
      </c>
      <c r="B199" s="6">
        <v>44093</v>
      </c>
      <c r="C199" s="7">
        <v>2187</v>
      </c>
      <c r="D199" s="7">
        <f t="shared" si="10"/>
        <v>14341</v>
      </c>
      <c r="E199" s="7">
        <f t="shared" si="12"/>
        <v>209745</v>
      </c>
      <c r="F199" s="7">
        <f>$L$2-SUM(D199,E199)</f>
        <v>9780055</v>
      </c>
      <c r="G199" s="7"/>
      <c r="H199" s="7">
        <f t="shared" si="11"/>
        <v>8.014493790078429E-3</v>
      </c>
      <c r="I199" s="7"/>
    </row>
    <row r="200" spans="1:9" x14ac:dyDescent="0.25">
      <c r="A200" s="5">
        <v>199</v>
      </c>
      <c r="B200" s="6">
        <v>44094</v>
      </c>
      <c r="C200" s="7">
        <v>844</v>
      </c>
      <c r="D200" s="7">
        <f t="shared" si="10"/>
        <v>14139</v>
      </c>
      <c r="E200" s="7">
        <f t="shared" si="12"/>
        <v>208458</v>
      </c>
      <c r="F200" s="7">
        <f>$L$2-SUM(D200,E200)</f>
        <v>9781544</v>
      </c>
      <c r="G200" s="7"/>
      <c r="H200" s="7">
        <f t="shared" si="11"/>
        <v>1.119170288499362E-2</v>
      </c>
      <c r="I200" s="7"/>
    </row>
    <row r="201" spans="1:9" x14ac:dyDescent="0.25">
      <c r="A201" s="5">
        <v>200</v>
      </c>
      <c r="B201" s="6">
        <v>44095</v>
      </c>
      <c r="C201" s="7">
        <v>1945</v>
      </c>
      <c r="D201" s="7">
        <f t="shared" ref="D201:D264" si="13">SUM(C195:C201)</f>
        <v>14135</v>
      </c>
      <c r="E201" s="7">
        <f t="shared" si="12"/>
        <v>208477</v>
      </c>
      <c r="F201" s="7">
        <f>$L$2-SUM(D201,E201)</f>
        <v>9781529</v>
      </c>
      <c r="G201" s="7"/>
      <c r="H201" s="7">
        <f t="shared" si="11"/>
        <v>9.2576159480422301E-3</v>
      </c>
      <c r="I201" s="7"/>
    </row>
    <row r="202" spans="1:9" x14ac:dyDescent="0.25">
      <c r="A202" s="5">
        <v>201</v>
      </c>
      <c r="B202" s="6">
        <v>44096</v>
      </c>
      <c r="C202" s="7">
        <v>2032</v>
      </c>
      <c r="D202" s="7">
        <f t="shared" si="13"/>
        <v>14231</v>
      </c>
      <c r="E202" s="7">
        <f t="shared" si="12"/>
        <v>208514</v>
      </c>
      <c r="F202" s="7">
        <f>$L$2-SUM(D202,E202)</f>
        <v>9781396</v>
      </c>
      <c r="G202" s="7"/>
      <c r="H202" s="7">
        <f t="shared" si="11"/>
        <v>9.1073021475776214E-3</v>
      </c>
      <c r="I202" s="7"/>
    </row>
    <row r="203" spans="1:9" x14ac:dyDescent="0.25">
      <c r="A203" s="5">
        <v>202</v>
      </c>
      <c r="B203" s="6">
        <v>44097</v>
      </c>
      <c r="C203" s="7">
        <v>2076</v>
      </c>
      <c r="D203" s="7">
        <f t="shared" si="13"/>
        <v>14248</v>
      </c>
      <c r="E203" s="7">
        <f t="shared" si="12"/>
        <v>208868</v>
      </c>
      <c r="F203" s="7">
        <f>$L$2-SUM(D203,E203)</f>
        <v>9781025</v>
      </c>
      <c r="G203" s="7"/>
      <c r="H203" s="7">
        <f t="shared" si="11"/>
        <v>8.1630503475879496E-3</v>
      </c>
      <c r="I203" s="7"/>
    </row>
    <row r="204" spans="1:9" x14ac:dyDescent="0.25">
      <c r="A204" s="5">
        <v>203</v>
      </c>
      <c r="B204" s="6">
        <v>44098</v>
      </c>
      <c r="C204" s="7">
        <v>2040</v>
      </c>
      <c r="D204" s="7">
        <f t="shared" si="13"/>
        <v>13590</v>
      </c>
      <c r="E204" s="7">
        <f t="shared" si="12"/>
        <v>210078</v>
      </c>
      <c r="F204" s="7">
        <f>$L$2-SUM(D204,E204)</f>
        <v>9780473</v>
      </c>
      <c r="G204" s="7"/>
      <c r="H204" s="7">
        <f t="shared" si="11"/>
        <v>7.0830834261559989E-3</v>
      </c>
      <c r="I204" s="7"/>
    </row>
    <row r="205" spans="1:9" x14ac:dyDescent="0.25">
      <c r="A205" s="5">
        <v>204</v>
      </c>
      <c r="B205" s="6">
        <v>44099</v>
      </c>
      <c r="C205" s="7">
        <v>1968</v>
      </c>
      <c r="D205" s="7">
        <f t="shared" si="13"/>
        <v>13092</v>
      </c>
      <c r="E205" s="7">
        <f t="shared" si="12"/>
        <v>210720</v>
      </c>
      <c r="F205" s="7">
        <f>$L$2-SUM(D205,E205)</f>
        <v>9780329</v>
      </c>
      <c r="G205" s="7"/>
      <c r="H205" s="7">
        <f t="shared" si="11"/>
        <v>8.6560364464692476E-3</v>
      </c>
      <c r="I205" s="7"/>
    </row>
    <row r="206" spans="1:9" x14ac:dyDescent="0.25">
      <c r="A206" s="5">
        <v>205</v>
      </c>
      <c r="B206" s="6">
        <v>44100</v>
      </c>
      <c r="C206" s="7">
        <v>1607</v>
      </c>
      <c r="D206" s="7">
        <f t="shared" si="13"/>
        <v>12512</v>
      </c>
      <c r="E206" s="7">
        <f t="shared" si="12"/>
        <v>212233</v>
      </c>
      <c r="F206" s="7">
        <f>$L$2-SUM(D206,E206)</f>
        <v>9779396</v>
      </c>
      <c r="G206" s="7"/>
      <c r="H206" s="7">
        <f t="shared" si="11"/>
        <v>3.1757549485706745E-3</v>
      </c>
      <c r="I206" s="7"/>
    </row>
    <row r="207" spans="1:9" x14ac:dyDescent="0.25">
      <c r="A207" s="5">
        <v>206</v>
      </c>
      <c r="B207" s="6">
        <v>44101</v>
      </c>
      <c r="C207" s="7">
        <v>1203</v>
      </c>
      <c r="D207" s="7">
        <f t="shared" si="13"/>
        <v>12871</v>
      </c>
      <c r="E207" s="7">
        <f t="shared" si="12"/>
        <v>210804</v>
      </c>
      <c r="F207" s="7">
        <f>$L$2-SUM(D207,E207)</f>
        <v>9780466</v>
      </c>
      <c r="G207" s="7"/>
      <c r="H207" s="7">
        <f t="shared" si="11"/>
        <v>1.0782527845771427E-2</v>
      </c>
      <c r="I207" s="7"/>
    </row>
    <row r="208" spans="1:9" x14ac:dyDescent="0.25">
      <c r="A208" s="5">
        <v>207</v>
      </c>
      <c r="B208" s="6">
        <v>44102</v>
      </c>
      <c r="C208" s="7">
        <v>1141</v>
      </c>
      <c r="D208" s="7">
        <f t="shared" si="13"/>
        <v>12067</v>
      </c>
      <c r="E208" s="7">
        <f t="shared" si="12"/>
        <v>210884</v>
      </c>
      <c r="F208" s="7">
        <f>$L$2-SUM(D208,E208)</f>
        <v>9781190</v>
      </c>
      <c r="G208" s="7"/>
      <c r="H208" s="7">
        <f t="shared" si="11"/>
        <v>8.8437245120540197E-3</v>
      </c>
      <c r="I208" s="7"/>
    </row>
    <row r="209" spans="1:9" x14ac:dyDescent="0.25">
      <c r="A209" s="5">
        <v>208</v>
      </c>
      <c r="B209" s="6">
        <v>44103</v>
      </c>
      <c r="C209" s="7">
        <v>1386</v>
      </c>
      <c r="D209" s="7">
        <f t="shared" si="13"/>
        <v>11421</v>
      </c>
      <c r="E209" s="7">
        <f t="shared" si="12"/>
        <v>210859</v>
      </c>
      <c r="F209" s="7">
        <f>$L$2-SUM(D209,E209)</f>
        <v>9781861</v>
      </c>
      <c r="G209" s="7"/>
      <c r="H209" s="7">
        <f t="shared" si="11"/>
        <v>9.7553341332359544E-3</v>
      </c>
      <c r="I209" s="7"/>
    </row>
    <row r="210" spans="1:9" x14ac:dyDescent="0.25">
      <c r="A210" s="5">
        <v>209</v>
      </c>
      <c r="B210" s="6">
        <v>44104</v>
      </c>
      <c r="C210" s="7">
        <v>1587</v>
      </c>
      <c r="D210" s="7">
        <f t="shared" si="13"/>
        <v>10932</v>
      </c>
      <c r="E210" s="7">
        <f t="shared" si="12"/>
        <v>210746</v>
      </c>
      <c r="F210" s="7">
        <f>$L$2-SUM(D210,E210)</f>
        <v>9782463</v>
      </c>
      <c r="G210" s="7"/>
      <c r="H210" s="7">
        <f t="shared" si="11"/>
        <v>1.038691125810217E-2</v>
      </c>
      <c r="I210" s="7"/>
    </row>
    <row r="211" spans="1:9" x14ac:dyDescent="0.25">
      <c r="A211" s="5">
        <v>210</v>
      </c>
      <c r="B211" s="6">
        <v>44105</v>
      </c>
      <c r="C211" s="7">
        <v>1312</v>
      </c>
      <c r="D211" s="7">
        <f t="shared" si="13"/>
        <v>10204</v>
      </c>
      <c r="E211" s="7">
        <f t="shared" si="12"/>
        <v>210829</v>
      </c>
      <c r="F211" s="7">
        <f>$L$2-SUM(D211,E211)</f>
        <v>9783108</v>
      </c>
      <c r="G211" s="7"/>
      <c r="H211" s="7">
        <f t="shared" si="11"/>
        <v>9.282404223327911E-3</v>
      </c>
      <c r="I211" s="7"/>
    </row>
    <row r="212" spans="1:9" x14ac:dyDescent="0.25">
      <c r="A212" s="5">
        <v>211</v>
      </c>
      <c r="B212" s="6">
        <v>44106</v>
      </c>
      <c r="C212" s="7">
        <v>1837</v>
      </c>
      <c r="D212" s="7">
        <f t="shared" si="13"/>
        <v>10073</v>
      </c>
      <c r="E212" s="7">
        <f t="shared" si="12"/>
        <v>211314</v>
      </c>
      <c r="F212" s="7">
        <f>$L$2-SUM(D212,E212)</f>
        <v>9782754</v>
      </c>
      <c r="G212" s="7"/>
      <c r="H212" s="7">
        <f t="shared" si="11"/>
        <v>7.0179921822501115E-3</v>
      </c>
      <c r="I212" s="7"/>
    </row>
    <row r="213" spans="1:9" x14ac:dyDescent="0.25">
      <c r="A213" s="5">
        <v>212</v>
      </c>
      <c r="B213" s="6">
        <v>44107</v>
      </c>
      <c r="C213" s="7">
        <v>1292</v>
      </c>
      <c r="D213" s="7">
        <f t="shared" si="13"/>
        <v>9758</v>
      </c>
      <c r="E213" s="7">
        <f t="shared" si="12"/>
        <v>212096</v>
      </c>
      <c r="F213" s="7">
        <f>$L$2-SUM(D213,E213)</f>
        <v>9782287</v>
      </c>
      <c r="G213" s="7"/>
      <c r="H213" s="7">
        <f t="shared" si="11"/>
        <v>3.8897480386240195E-3</v>
      </c>
      <c r="I213" s="7"/>
    </row>
    <row r="214" spans="1:9" x14ac:dyDescent="0.25">
      <c r="A214" s="5">
        <v>213</v>
      </c>
      <c r="B214" s="6">
        <v>44108</v>
      </c>
      <c r="C214" s="7">
        <v>676</v>
      </c>
      <c r="D214" s="7">
        <f t="shared" si="13"/>
        <v>9231</v>
      </c>
      <c r="E214" s="7">
        <f t="shared" si="12"/>
        <v>212083</v>
      </c>
      <c r="F214" s="7">
        <f>$L$2-SUM(D214,E214)</f>
        <v>9782827</v>
      </c>
      <c r="G214" s="7"/>
      <c r="H214" s="7">
        <f t="shared" si="11"/>
        <v>5.7336042964311138E-3</v>
      </c>
      <c r="I214" s="7"/>
    </row>
    <row r="215" spans="1:9" x14ac:dyDescent="0.25">
      <c r="A215" s="5">
        <v>214</v>
      </c>
      <c r="B215" s="6">
        <v>44109</v>
      </c>
      <c r="C215" s="7">
        <v>1331</v>
      </c>
      <c r="D215" s="7">
        <f t="shared" si="13"/>
        <v>9421</v>
      </c>
      <c r="E215" s="7">
        <f t="shared" si="12"/>
        <v>211680</v>
      </c>
      <c r="F215" s="7">
        <f>$L$2-SUM(D215,E215)</f>
        <v>9783040</v>
      </c>
      <c r="G215" s="7"/>
      <c r="H215" s="7">
        <f t="shared" si="11"/>
        <v>7.2940287226001509E-3</v>
      </c>
      <c r="I215" s="7"/>
    </row>
    <row r="216" spans="1:9" x14ac:dyDescent="0.25">
      <c r="A216" s="5">
        <v>215</v>
      </c>
      <c r="B216" s="6">
        <v>44110</v>
      </c>
      <c r="C216" s="7">
        <v>1419</v>
      </c>
      <c r="D216" s="7">
        <f t="shared" si="13"/>
        <v>9454</v>
      </c>
      <c r="E216" s="7">
        <f t="shared" si="12"/>
        <v>211479</v>
      </c>
      <c r="F216" s="7">
        <f>$L$2-SUM(D216,E216)</f>
        <v>9783208</v>
      </c>
      <c r="G216" s="7"/>
      <c r="H216" s="7">
        <f t="shared" si="11"/>
        <v>7.5042912062190572E-3</v>
      </c>
      <c r="I216" s="7"/>
    </row>
    <row r="217" spans="1:9" x14ac:dyDescent="0.25">
      <c r="A217" s="5">
        <v>216</v>
      </c>
      <c r="B217" s="6">
        <v>44111</v>
      </c>
      <c r="C217" s="7">
        <v>1318</v>
      </c>
      <c r="D217" s="7">
        <f t="shared" si="13"/>
        <v>9185</v>
      </c>
      <c r="E217" s="7">
        <f t="shared" si="12"/>
        <v>211672</v>
      </c>
      <c r="F217" s="7">
        <f>$L$2-SUM(D217,E217)</f>
        <v>9783284</v>
      </c>
      <c r="G217" s="7"/>
      <c r="H217" s="7">
        <f t="shared" si="11"/>
        <v>6.585660833742772E-3</v>
      </c>
      <c r="I217" s="7"/>
    </row>
    <row r="218" spans="1:9" x14ac:dyDescent="0.25">
      <c r="A218" s="5">
        <v>217</v>
      </c>
      <c r="B218" s="6">
        <v>44112</v>
      </c>
      <c r="C218" s="7">
        <v>1414</v>
      </c>
      <c r="D218" s="7">
        <f t="shared" si="13"/>
        <v>9287</v>
      </c>
      <c r="E218" s="7">
        <f t="shared" si="12"/>
        <v>211313</v>
      </c>
      <c r="F218" s="7">
        <f>$L$2-SUM(D218,E218)</f>
        <v>9783541</v>
      </c>
      <c r="G218" s="7"/>
      <c r="H218" s="7">
        <f t="shared" si="11"/>
        <v>7.9077008986669067E-3</v>
      </c>
      <c r="I218" s="7"/>
    </row>
    <row r="219" spans="1:9" x14ac:dyDescent="0.25">
      <c r="A219" s="5">
        <v>218</v>
      </c>
      <c r="B219" s="6">
        <v>44113</v>
      </c>
      <c r="C219" s="7">
        <v>1690</v>
      </c>
      <c r="D219" s="7">
        <f t="shared" si="13"/>
        <v>9140</v>
      </c>
      <c r="E219" s="7">
        <f t="shared" si="12"/>
        <v>211676</v>
      </c>
      <c r="F219" s="7">
        <f>$L$2-SUM(D219,E219)</f>
        <v>9783325</v>
      </c>
      <c r="G219" s="7"/>
      <c r="H219" s="7">
        <f t="shared" si="11"/>
        <v>6.9634724768041726E-3</v>
      </c>
      <c r="I219" s="7"/>
    </row>
    <row r="220" spans="1:9" x14ac:dyDescent="0.25">
      <c r="A220" s="5">
        <v>219</v>
      </c>
      <c r="B220" s="6">
        <v>44114</v>
      </c>
      <c r="C220" s="7">
        <v>1056</v>
      </c>
      <c r="D220" s="7">
        <f t="shared" si="13"/>
        <v>8904</v>
      </c>
      <c r="E220" s="7">
        <f t="shared" si="12"/>
        <v>211714</v>
      </c>
      <c r="F220" s="7">
        <f>$L$2-SUM(D220,E220)</f>
        <v>9783523</v>
      </c>
      <c r="G220" s="7"/>
      <c r="H220" s="7">
        <f t="shared" si="11"/>
        <v>5.9230849164438821E-3</v>
      </c>
      <c r="I220" s="7"/>
    </row>
    <row r="221" spans="1:9" x14ac:dyDescent="0.25">
      <c r="A221" s="5">
        <v>220</v>
      </c>
      <c r="B221" s="6">
        <v>44115</v>
      </c>
      <c r="C221" s="7">
        <v>616</v>
      </c>
      <c r="D221" s="7">
        <f t="shared" si="13"/>
        <v>8844</v>
      </c>
      <c r="E221" s="7">
        <f t="shared" si="12"/>
        <v>210729</v>
      </c>
      <c r="F221" s="7">
        <f>$L$2-SUM(D221,E221)</f>
        <v>9784568</v>
      </c>
      <c r="G221" s="7"/>
      <c r="H221" s="7">
        <f t="shared" si="11"/>
        <v>7.8821614490649124E-3</v>
      </c>
      <c r="I221" s="7"/>
    </row>
    <row r="222" spans="1:9" x14ac:dyDescent="0.25">
      <c r="A222" s="5">
        <v>221</v>
      </c>
      <c r="B222" s="6">
        <v>44116</v>
      </c>
      <c r="C222" s="7">
        <v>1157</v>
      </c>
      <c r="D222" s="7">
        <f t="shared" si="13"/>
        <v>8670</v>
      </c>
      <c r="E222" s="7">
        <f t="shared" si="12"/>
        <v>210179</v>
      </c>
      <c r="F222" s="7">
        <f>$L$2-SUM(D222,E222)</f>
        <v>9785292</v>
      </c>
      <c r="G222" s="7"/>
      <c r="H222" s="7">
        <f t="shared" si="11"/>
        <v>8.9495144614828315E-3</v>
      </c>
      <c r="I222" s="7"/>
    </row>
    <row r="223" spans="1:9" x14ac:dyDescent="0.25">
      <c r="A223" s="5">
        <v>222</v>
      </c>
      <c r="B223" s="6">
        <v>44117</v>
      </c>
      <c r="C223" s="7">
        <v>1492</v>
      </c>
      <c r="D223" s="7">
        <f t="shared" si="13"/>
        <v>8743</v>
      </c>
      <c r="E223" s="7">
        <f t="shared" si="12"/>
        <v>210484</v>
      </c>
      <c r="F223" s="7">
        <f>$L$2-SUM(D223,E223)</f>
        <v>9784914</v>
      </c>
      <c r="G223" s="7"/>
      <c r="H223" s="7">
        <f t="shared" si="11"/>
        <v>5.2925638053248703E-3</v>
      </c>
      <c r="I223" s="7"/>
    </row>
    <row r="224" spans="1:9" x14ac:dyDescent="0.25">
      <c r="A224" s="5">
        <v>223</v>
      </c>
      <c r="B224" s="6">
        <v>44118</v>
      </c>
      <c r="C224" s="7">
        <v>1218</v>
      </c>
      <c r="D224" s="7">
        <f t="shared" si="13"/>
        <v>8643</v>
      </c>
      <c r="E224" s="7">
        <f t="shared" si="12"/>
        <v>210555</v>
      </c>
      <c r="F224" s="7">
        <f>$L$2-SUM(D224,E224)</f>
        <v>9784943</v>
      </c>
      <c r="G224" s="7"/>
      <c r="H224" s="7">
        <f t="shared" si="11"/>
        <v>5.9224430671321032E-3</v>
      </c>
      <c r="I224" s="7"/>
    </row>
    <row r="225" spans="1:9" x14ac:dyDescent="0.25">
      <c r="A225" s="5">
        <v>224</v>
      </c>
      <c r="B225" s="6">
        <v>44119</v>
      </c>
      <c r="C225" s="7">
        <v>1196</v>
      </c>
      <c r="D225" s="7">
        <f t="shared" si="13"/>
        <v>8425</v>
      </c>
      <c r="E225" s="7">
        <f t="shared" si="12"/>
        <v>209984</v>
      </c>
      <c r="F225" s="7">
        <f>$L$2-SUM(D225,E225)</f>
        <v>9785732</v>
      </c>
      <c r="G225" s="7"/>
      <c r="H225" s="7">
        <f t="shared" si="11"/>
        <v>9.4531011886619925E-3</v>
      </c>
      <c r="I225" s="7"/>
    </row>
    <row r="226" spans="1:9" x14ac:dyDescent="0.25">
      <c r="A226" s="5">
        <v>225</v>
      </c>
      <c r="B226" s="6">
        <v>44120</v>
      </c>
      <c r="C226" s="7">
        <v>1525</v>
      </c>
      <c r="D226" s="7">
        <f t="shared" si="13"/>
        <v>8260</v>
      </c>
      <c r="E226" s="7">
        <f t="shared" si="12"/>
        <v>210103</v>
      </c>
      <c r="F226" s="7">
        <f>$L$2-SUM(D226,E226)</f>
        <v>9785778</v>
      </c>
      <c r="G226" s="7"/>
      <c r="H226" s="7">
        <f t="shared" si="11"/>
        <v>7.4772849507146492E-3</v>
      </c>
      <c r="I226" s="7"/>
    </row>
    <row r="227" spans="1:9" x14ac:dyDescent="0.25">
      <c r="A227" s="5">
        <v>226</v>
      </c>
      <c r="B227" s="6">
        <v>44121</v>
      </c>
      <c r="C227" s="7">
        <v>1010</v>
      </c>
      <c r="D227" s="7">
        <f t="shared" si="13"/>
        <v>8214</v>
      </c>
      <c r="E227" s="7">
        <f t="shared" si="12"/>
        <v>209975</v>
      </c>
      <c r="F227" s="7">
        <f>$L$2-SUM(D227,E227)</f>
        <v>9785952</v>
      </c>
      <c r="G227" s="7"/>
      <c r="H227" s="7">
        <f t="shared" ref="H227:H290" si="14">C130/E227</f>
        <v>5.638766519823789E-3</v>
      </c>
      <c r="I227" s="7"/>
    </row>
    <row r="228" spans="1:9" x14ac:dyDescent="0.25">
      <c r="A228" s="5">
        <v>227</v>
      </c>
      <c r="B228" s="6">
        <v>44122</v>
      </c>
      <c r="C228" s="7">
        <v>641</v>
      </c>
      <c r="D228" s="7">
        <f t="shared" si="13"/>
        <v>8239</v>
      </c>
      <c r="E228" s="7">
        <f t="shared" ref="E228:E291" si="15">SUM(C132:C221)</f>
        <v>208673</v>
      </c>
      <c r="F228" s="7">
        <f>$L$2-SUM(D228,E228)</f>
        <v>9787229</v>
      </c>
      <c r="G228" s="7"/>
      <c r="H228" s="7">
        <f t="shared" si="14"/>
        <v>9.1914143180957773E-3</v>
      </c>
      <c r="I228" s="7"/>
    </row>
    <row r="229" spans="1:9" x14ac:dyDescent="0.25">
      <c r="A229" s="5">
        <v>228</v>
      </c>
      <c r="B229" s="6">
        <v>44123</v>
      </c>
      <c r="C229" s="7">
        <v>1195</v>
      </c>
      <c r="D229" s="7">
        <f t="shared" si="13"/>
        <v>8277</v>
      </c>
      <c r="E229" s="7">
        <f t="shared" si="15"/>
        <v>207746</v>
      </c>
      <c r="F229" s="7">
        <f>$L$2-SUM(D229,E229)</f>
        <v>9788118</v>
      </c>
      <c r="G229" s="7"/>
      <c r="H229" s="7">
        <f t="shared" si="14"/>
        <v>1.0031480750531899E-2</v>
      </c>
      <c r="I229" s="7"/>
    </row>
    <row r="230" spans="1:9" x14ac:dyDescent="0.25">
      <c r="A230" s="5">
        <v>229</v>
      </c>
      <c r="B230" s="6">
        <v>44124</v>
      </c>
      <c r="C230" s="7">
        <v>1392</v>
      </c>
      <c r="D230" s="7">
        <f t="shared" si="13"/>
        <v>8177</v>
      </c>
      <c r="E230" s="7">
        <f t="shared" si="15"/>
        <v>206960</v>
      </c>
      <c r="F230" s="7">
        <f>$L$2-SUM(D230,E230)</f>
        <v>9789004</v>
      </c>
      <c r="G230" s="7"/>
      <c r="H230" s="7">
        <f t="shared" si="14"/>
        <v>1.1006957866254349E-2</v>
      </c>
      <c r="I230" s="7"/>
    </row>
    <row r="231" spans="1:9" x14ac:dyDescent="0.25">
      <c r="A231" s="5">
        <v>230</v>
      </c>
      <c r="B231" s="6">
        <v>44125</v>
      </c>
      <c r="C231" s="7">
        <v>1489</v>
      </c>
      <c r="D231" s="7">
        <f t="shared" si="13"/>
        <v>8448</v>
      </c>
      <c r="E231" s="7">
        <f t="shared" si="15"/>
        <v>205780</v>
      </c>
      <c r="F231" s="7">
        <f>$L$2-SUM(D231,E231)</f>
        <v>9789913</v>
      </c>
      <c r="G231" s="7"/>
      <c r="H231" s="7">
        <f t="shared" si="14"/>
        <v>1.165322188745262E-2</v>
      </c>
      <c r="I231" s="7"/>
    </row>
    <row r="232" spans="1:9" x14ac:dyDescent="0.25">
      <c r="A232" s="5">
        <v>231</v>
      </c>
      <c r="B232" s="6">
        <v>44126</v>
      </c>
      <c r="C232" s="7">
        <v>1055</v>
      </c>
      <c r="D232" s="7">
        <f t="shared" si="13"/>
        <v>8307</v>
      </c>
      <c r="E232" s="7">
        <f t="shared" si="15"/>
        <v>204660</v>
      </c>
      <c r="F232" s="7">
        <f>$L$2-SUM(D232,E232)</f>
        <v>9791174</v>
      </c>
      <c r="G232" s="7"/>
      <c r="H232" s="7">
        <f t="shared" si="14"/>
        <v>1.1316329522134272E-2</v>
      </c>
      <c r="I232" s="7"/>
    </row>
    <row r="233" spans="1:9" x14ac:dyDescent="0.25">
      <c r="A233" s="5">
        <v>232</v>
      </c>
      <c r="B233" s="6">
        <v>44127</v>
      </c>
      <c r="C233" s="7">
        <v>1153</v>
      </c>
      <c r="D233" s="7">
        <f t="shared" si="13"/>
        <v>7935</v>
      </c>
      <c r="E233" s="7">
        <f t="shared" si="15"/>
        <v>204105</v>
      </c>
      <c r="F233" s="7">
        <f>$L$2-SUM(D233,E233)</f>
        <v>9792101</v>
      </c>
      <c r="G233" s="7"/>
      <c r="H233" s="7">
        <f t="shared" si="14"/>
        <v>1.019083314960437E-2</v>
      </c>
      <c r="I233" s="7"/>
    </row>
    <row r="234" spans="1:9" x14ac:dyDescent="0.25">
      <c r="A234" s="5">
        <v>233</v>
      </c>
      <c r="B234" s="6">
        <v>44128</v>
      </c>
      <c r="C234" s="7">
        <v>827</v>
      </c>
      <c r="D234" s="7">
        <f t="shared" si="13"/>
        <v>7752</v>
      </c>
      <c r="E234" s="7">
        <f t="shared" si="15"/>
        <v>203868</v>
      </c>
      <c r="F234" s="7">
        <f>$L$2-SUM(D234,E234)</f>
        <v>9792521</v>
      </c>
      <c r="G234" s="7"/>
      <c r="H234" s="7">
        <f t="shared" si="14"/>
        <v>6.1167029646634098E-3</v>
      </c>
      <c r="I234" s="7"/>
    </row>
    <row r="235" spans="1:9" x14ac:dyDescent="0.25">
      <c r="A235" s="5">
        <v>234</v>
      </c>
      <c r="B235" s="6">
        <v>44129</v>
      </c>
      <c r="C235" s="7">
        <v>548</v>
      </c>
      <c r="D235" s="7">
        <f t="shared" si="13"/>
        <v>7659</v>
      </c>
      <c r="E235" s="7">
        <f t="shared" si="15"/>
        <v>202481</v>
      </c>
      <c r="F235" s="7">
        <f>$L$2-SUM(D235,E235)</f>
        <v>9794001</v>
      </c>
      <c r="G235" s="7"/>
      <c r="H235" s="7">
        <f t="shared" si="14"/>
        <v>1.0015754564625817E-2</v>
      </c>
      <c r="I235" s="7"/>
    </row>
    <row r="236" spans="1:9" x14ac:dyDescent="0.25">
      <c r="A236" s="5">
        <v>235</v>
      </c>
      <c r="B236" s="6">
        <v>44130</v>
      </c>
      <c r="C236" s="7">
        <v>1030</v>
      </c>
      <c r="D236" s="7">
        <f t="shared" si="13"/>
        <v>7494</v>
      </c>
      <c r="E236" s="7">
        <f t="shared" si="15"/>
        <v>201365</v>
      </c>
      <c r="F236" s="7">
        <f>$L$2-SUM(D236,E236)</f>
        <v>9795282</v>
      </c>
      <c r="G236" s="7"/>
      <c r="H236" s="7">
        <f t="shared" si="14"/>
        <v>1.1476671715541429E-2</v>
      </c>
      <c r="I236" s="7"/>
    </row>
    <row r="237" spans="1:9" x14ac:dyDescent="0.25">
      <c r="A237" s="5">
        <v>236</v>
      </c>
      <c r="B237" s="6">
        <v>44131</v>
      </c>
      <c r="C237" s="7">
        <v>1084</v>
      </c>
      <c r="D237" s="7">
        <f t="shared" si="13"/>
        <v>7186</v>
      </c>
      <c r="E237" s="7">
        <f t="shared" si="15"/>
        <v>200116</v>
      </c>
      <c r="F237" s="7">
        <f>$L$2-SUM(D237,E237)</f>
        <v>9796839</v>
      </c>
      <c r="G237" s="7"/>
      <c r="H237" s="7">
        <f t="shared" si="14"/>
        <v>1.3197345539587039E-2</v>
      </c>
      <c r="I237" s="7"/>
    </row>
    <row r="238" spans="1:9" x14ac:dyDescent="0.25">
      <c r="A238" s="5">
        <v>237</v>
      </c>
      <c r="B238" s="6">
        <v>44132</v>
      </c>
      <c r="C238" s="7">
        <v>846</v>
      </c>
      <c r="D238" s="7">
        <f t="shared" si="13"/>
        <v>6543</v>
      </c>
      <c r="E238" s="7">
        <f t="shared" si="15"/>
        <v>199304</v>
      </c>
      <c r="F238" s="7">
        <f>$L$2-SUM(D238,E238)</f>
        <v>9798294</v>
      </c>
      <c r="G238" s="7"/>
      <c r="H238" s="7">
        <f t="shared" si="14"/>
        <v>1.1545177216714166E-2</v>
      </c>
      <c r="I238" s="7"/>
    </row>
    <row r="239" spans="1:9" x14ac:dyDescent="0.25">
      <c r="A239" s="5">
        <v>238</v>
      </c>
      <c r="B239" s="6">
        <v>44133</v>
      </c>
      <c r="C239" s="7">
        <v>869</v>
      </c>
      <c r="D239" s="7">
        <f t="shared" si="13"/>
        <v>6357</v>
      </c>
      <c r="E239" s="7">
        <f t="shared" si="15"/>
        <v>197808</v>
      </c>
      <c r="F239" s="7">
        <f>$L$2-SUM(D239,E239)</f>
        <v>9799976</v>
      </c>
      <c r="G239" s="7"/>
      <c r="H239" s="7">
        <f t="shared" si="14"/>
        <v>1.2896343929466958E-2</v>
      </c>
      <c r="I239" s="7"/>
    </row>
    <row r="240" spans="1:9" x14ac:dyDescent="0.25">
      <c r="A240" s="5">
        <v>239</v>
      </c>
      <c r="B240" s="6">
        <v>44134</v>
      </c>
      <c r="C240" s="7">
        <v>894</v>
      </c>
      <c r="D240" s="7">
        <f t="shared" si="13"/>
        <v>6098</v>
      </c>
      <c r="E240" s="7">
        <f t="shared" si="15"/>
        <v>196849</v>
      </c>
      <c r="F240" s="7">
        <f>$L$2-SUM(D240,E240)</f>
        <v>9801194</v>
      </c>
      <c r="G240" s="7"/>
      <c r="H240" s="7">
        <f t="shared" si="14"/>
        <v>1.0729035961574608E-2</v>
      </c>
      <c r="I240" s="7"/>
    </row>
    <row r="241" spans="1:9" x14ac:dyDescent="0.25">
      <c r="A241" s="5">
        <v>240</v>
      </c>
      <c r="B241" s="6">
        <v>44135</v>
      </c>
      <c r="C241" s="7">
        <v>919</v>
      </c>
      <c r="D241" s="7">
        <f t="shared" si="13"/>
        <v>6190</v>
      </c>
      <c r="E241" s="7">
        <f t="shared" si="15"/>
        <v>195979</v>
      </c>
      <c r="F241" s="7">
        <f>$L$2-SUM(D241,E241)</f>
        <v>9801972</v>
      </c>
      <c r="G241" s="7"/>
      <c r="H241" s="7">
        <f t="shared" si="14"/>
        <v>8.6590910250588082E-3</v>
      </c>
      <c r="I241" s="7"/>
    </row>
    <row r="242" spans="1:9" x14ac:dyDescent="0.25">
      <c r="A242" s="5">
        <v>241</v>
      </c>
      <c r="B242" s="6">
        <v>44136</v>
      </c>
      <c r="C242" s="7">
        <v>405</v>
      </c>
      <c r="D242" s="7">
        <f t="shared" si="13"/>
        <v>6047</v>
      </c>
      <c r="E242" s="7">
        <f t="shared" si="15"/>
        <v>193679</v>
      </c>
      <c r="F242" s="7">
        <f>$L$2-SUM(D242,E242)</f>
        <v>9804415</v>
      </c>
      <c r="G242" s="7"/>
      <c r="H242" s="7">
        <f t="shared" si="14"/>
        <v>1.470474341565167E-2</v>
      </c>
      <c r="I242" s="7"/>
    </row>
    <row r="243" spans="1:9" x14ac:dyDescent="0.25">
      <c r="A243" s="5">
        <v>242</v>
      </c>
      <c r="B243" s="6">
        <v>44137</v>
      </c>
      <c r="C243" s="7">
        <v>795</v>
      </c>
      <c r="D243" s="7">
        <f t="shared" si="13"/>
        <v>5812</v>
      </c>
      <c r="E243" s="7">
        <f t="shared" si="15"/>
        <v>193429</v>
      </c>
      <c r="F243" s="7">
        <f>$L$2-SUM(D243,E243)</f>
        <v>9804900</v>
      </c>
      <c r="G243" s="7"/>
      <c r="H243" s="7">
        <f t="shared" si="14"/>
        <v>6.6174151755941458E-3</v>
      </c>
      <c r="I243" s="7"/>
    </row>
    <row r="244" spans="1:9" x14ac:dyDescent="0.25">
      <c r="A244" s="5">
        <v>243</v>
      </c>
      <c r="B244" s="6">
        <v>44138</v>
      </c>
      <c r="C244" s="7">
        <v>929</v>
      </c>
      <c r="D244" s="7">
        <f t="shared" si="13"/>
        <v>5657</v>
      </c>
      <c r="E244" s="7">
        <f t="shared" si="15"/>
        <v>191734</v>
      </c>
      <c r="F244" s="7">
        <f>$L$2-SUM(D244,E244)</f>
        <v>9806750</v>
      </c>
      <c r="G244" s="7"/>
      <c r="H244" s="7">
        <f t="shared" si="14"/>
        <v>1.4494038615999249E-2</v>
      </c>
      <c r="I244" s="7"/>
    </row>
    <row r="245" spans="1:9" x14ac:dyDescent="0.25">
      <c r="A245" s="5">
        <v>244</v>
      </c>
      <c r="B245" s="6">
        <v>44139</v>
      </c>
      <c r="C245" s="7">
        <v>1008</v>
      </c>
      <c r="D245" s="7">
        <f t="shared" si="13"/>
        <v>5819</v>
      </c>
      <c r="E245" s="7">
        <f t="shared" si="15"/>
        <v>189491</v>
      </c>
      <c r="F245" s="7">
        <f>$L$2-SUM(D245,E245)</f>
        <v>9808831</v>
      </c>
      <c r="G245" s="7"/>
      <c r="H245" s="7">
        <f t="shared" si="14"/>
        <v>1.6301565773572359E-2</v>
      </c>
      <c r="I245" s="7"/>
    </row>
    <row r="246" spans="1:9" x14ac:dyDescent="0.25">
      <c r="A246" s="5">
        <v>245</v>
      </c>
      <c r="B246" s="6">
        <v>44140</v>
      </c>
      <c r="C246" s="7">
        <v>810</v>
      </c>
      <c r="D246" s="7">
        <f t="shared" si="13"/>
        <v>5760</v>
      </c>
      <c r="E246" s="7">
        <f t="shared" si="15"/>
        <v>187410</v>
      </c>
      <c r="F246" s="7">
        <f>$L$2-SUM(D246,E246)</f>
        <v>9810971</v>
      </c>
      <c r="G246" s="7"/>
      <c r="H246" s="7">
        <f t="shared" si="14"/>
        <v>1.5740888960034151E-2</v>
      </c>
      <c r="I246" s="7"/>
    </row>
    <row r="247" spans="1:9" x14ac:dyDescent="0.25">
      <c r="A247" s="5">
        <v>246</v>
      </c>
      <c r="B247" s="6">
        <v>44142</v>
      </c>
      <c r="C247" s="7">
        <v>624</v>
      </c>
      <c r="D247" s="7">
        <f t="shared" si="13"/>
        <v>5490</v>
      </c>
      <c r="E247" s="7">
        <f t="shared" si="15"/>
        <v>185320</v>
      </c>
      <c r="F247" s="7">
        <f>$L$2-SUM(D247,E247)</f>
        <v>9813331</v>
      </c>
      <c r="G247" s="7"/>
      <c r="H247" s="7">
        <f t="shared" si="14"/>
        <v>1.6101877832937622E-2</v>
      </c>
      <c r="I247" s="7"/>
    </row>
    <row r="248" spans="1:9" x14ac:dyDescent="0.25">
      <c r="A248" s="5">
        <v>247</v>
      </c>
      <c r="B248" s="6">
        <v>44143</v>
      </c>
      <c r="C248" s="7">
        <v>402</v>
      </c>
      <c r="D248" s="7">
        <f t="shared" si="13"/>
        <v>4973</v>
      </c>
      <c r="E248" s="7">
        <f t="shared" si="15"/>
        <v>184440</v>
      </c>
      <c r="F248" s="7">
        <f>$L$2-SUM(D248,E248)</f>
        <v>9814728</v>
      </c>
      <c r="G248" s="7"/>
      <c r="H248" s="7">
        <f t="shared" si="14"/>
        <v>9.7538494903491643E-3</v>
      </c>
      <c r="I248" s="7"/>
    </row>
    <row r="249" spans="1:9" x14ac:dyDescent="0.25">
      <c r="A249" s="5">
        <v>248</v>
      </c>
      <c r="B249" s="6">
        <v>44144</v>
      </c>
      <c r="C249" s="7">
        <v>887</v>
      </c>
      <c r="D249" s="7">
        <f t="shared" si="13"/>
        <v>5455</v>
      </c>
      <c r="E249" s="7">
        <f t="shared" si="15"/>
        <v>181483</v>
      </c>
      <c r="F249" s="7">
        <f>$L$2-SUM(D249,E249)</f>
        <v>9817203</v>
      </c>
      <c r="G249" s="7"/>
      <c r="H249" s="7">
        <f t="shared" si="14"/>
        <v>1.8525151116082498E-2</v>
      </c>
      <c r="I249" s="7"/>
    </row>
    <row r="250" spans="1:9" x14ac:dyDescent="0.25">
      <c r="A250" s="5">
        <v>249</v>
      </c>
      <c r="B250" s="6">
        <v>44145</v>
      </c>
      <c r="C250" s="7">
        <v>788</v>
      </c>
      <c r="D250" s="7">
        <f t="shared" si="13"/>
        <v>5448</v>
      </c>
      <c r="E250" s="7">
        <f t="shared" si="15"/>
        <v>178974</v>
      </c>
      <c r="F250" s="7">
        <f>$L$2-SUM(D250,E250)</f>
        <v>9819719</v>
      </c>
      <c r="G250" s="7"/>
      <c r="H250" s="7">
        <f t="shared" si="14"/>
        <v>1.8460782013029826E-2</v>
      </c>
      <c r="I250" s="7"/>
    </row>
    <row r="251" spans="1:9" x14ac:dyDescent="0.25">
      <c r="A251" s="5">
        <v>250</v>
      </c>
      <c r="B251" s="6">
        <v>44146</v>
      </c>
      <c r="C251" s="7">
        <v>719</v>
      </c>
      <c r="D251" s="7">
        <f t="shared" si="13"/>
        <v>5238</v>
      </c>
      <c r="E251" s="7">
        <f t="shared" si="15"/>
        <v>176858</v>
      </c>
      <c r="F251" s="7">
        <f>$L$2-SUM(D251,E251)</f>
        <v>9822045</v>
      </c>
      <c r="G251" s="7"/>
      <c r="H251" s="7">
        <f t="shared" si="14"/>
        <v>1.7217202501441833E-2</v>
      </c>
      <c r="I251" s="7"/>
    </row>
    <row r="252" spans="1:9" x14ac:dyDescent="0.25">
      <c r="A252" s="5">
        <v>251</v>
      </c>
      <c r="B252" s="6">
        <v>44147</v>
      </c>
      <c r="C252" s="7">
        <v>700</v>
      </c>
      <c r="D252" s="7">
        <f t="shared" si="13"/>
        <v>4930</v>
      </c>
      <c r="E252" s="7">
        <f t="shared" si="15"/>
        <v>174699</v>
      </c>
      <c r="F252" s="7">
        <f>$L$2-SUM(D252,E252)</f>
        <v>9824512</v>
      </c>
      <c r="G252" s="7"/>
      <c r="H252" s="7">
        <f t="shared" si="14"/>
        <v>1.8128323573689605E-2</v>
      </c>
      <c r="I252" s="7"/>
    </row>
    <row r="253" spans="1:9" x14ac:dyDescent="0.25">
      <c r="A253" s="5">
        <v>252</v>
      </c>
      <c r="B253" s="6">
        <v>44148</v>
      </c>
      <c r="C253" s="7">
        <v>880</v>
      </c>
      <c r="D253" s="7">
        <f t="shared" si="13"/>
        <v>5000</v>
      </c>
      <c r="E253" s="7">
        <f t="shared" si="15"/>
        <v>172763</v>
      </c>
      <c r="F253" s="7">
        <f>$L$2-SUM(D253,E253)</f>
        <v>9826378</v>
      </c>
      <c r="G253" s="7"/>
      <c r="H253" s="7">
        <f t="shared" si="14"/>
        <v>1.5894607062854893E-2</v>
      </c>
      <c r="I253" s="7"/>
    </row>
    <row r="254" spans="1:9" x14ac:dyDescent="0.25">
      <c r="A254" s="5">
        <v>253</v>
      </c>
      <c r="B254" s="6">
        <v>44149</v>
      </c>
      <c r="C254" s="7">
        <v>577</v>
      </c>
      <c r="D254" s="7">
        <f t="shared" si="13"/>
        <v>4953</v>
      </c>
      <c r="E254" s="7">
        <f t="shared" si="15"/>
        <v>170522</v>
      </c>
      <c r="F254" s="7">
        <f>$L$2-SUM(D254,E254)</f>
        <v>9828666</v>
      </c>
      <c r="G254" s="7"/>
      <c r="H254" s="7">
        <f t="shared" si="14"/>
        <v>1.6801351145306762E-2</v>
      </c>
      <c r="I254" s="7"/>
    </row>
    <row r="255" spans="1:9" x14ac:dyDescent="0.25">
      <c r="A255" s="5">
        <v>254</v>
      </c>
      <c r="B255" s="6">
        <v>44150</v>
      </c>
      <c r="C255" s="7">
        <v>417</v>
      </c>
      <c r="D255" s="7">
        <f t="shared" si="13"/>
        <v>4968</v>
      </c>
      <c r="E255" s="7">
        <f t="shared" si="15"/>
        <v>169035</v>
      </c>
      <c r="F255" s="7">
        <f>$L$2-SUM(D255,E255)</f>
        <v>9830138</v>
      </c>
      <c r="G255" s="7"/>
      <c r="H255" s="7">
        <f t="shared" si="14"/>
        <v>1.117520040228355E-2</v>
      </c>
      <c r="I255" s="7"/>
    </row>
    <row r="256" spans="1:9" x14ac:dyDescent="0.25">
      <c r="A256" s="5">
        <v>255</v>
      </c>
      <c r="B256" s="6">
        <v>44151</v>
      </c>
      <c r="C256" s="7">
        <v>610</v>
      </c>
      <c r="D256" s="7">
        <f t="shared" si="13"/>
        <v>4691</v>
      </c>
      <c r="E256" s="7">
        <f t="shared" si="15"/>
        <v>166935</v>
      </c>
      <c r="F256" s="7">
        <f>$L$2-SUM(D256,E256)</f>
        <v>9832515</v>
      </c>
      <c r="G256" s="7"/>
      <c r="H256" s="7">
        <f t="shared" si="14"/>
        <v>1.7893191960942884E-2</v>
      </c>
      <c r="I256" s="7"/>
    </row>
    <row r="257" spans="1:9" x14ac:dyDescent="0.25">
      <c r="A257" s="5">
        <v>256</v>
      </c>
      <c r="B257" s="6">
        <v>44152</v>
      </c>
      <c r="C257" s="7">
        <v>639</v>
      </c>
      <c r="D257" s="7">
        <f t="shared" si="13"/>
        <v>4542</v>
      </c>
      <c r="E257" s="7">
        <f t="shared" si="15"/>
        <v>164140</v>
      </c>
      <c r="F257" s="7">
        <f>$L$2-SUM(D257,E257)</f>
        <v>9835459</v>
      </c>
      <c r="G257" s="7"/>
      <c r="H257" s="7">
        <f t="shared" si="14"/>
        <v>2.1828926526136227E-2</v>
      </c>
      <c r="I257" s="7"/>
    </row>
    <row r="258" spans="1:9" x14ac:dyDescent="0.25">
      <c r="A258" s="5">
        <v>257</v>
      </c>
      <c r="B258" s="6">
        <v>44153</v>
      </c>
      <c r="C258" s="7">
        <v>631</v>
      </c>
      <c r="D258" s="7">
        <f t="shared" si="13"/>
        <v>4454</v>
      </c>
      <c r="E258" s="7">
        <f t="shared" si="15"/>
        <v>160839</v>
      </c>
      <c r="F258" s="7">
        <f>$L$2-SUM(D258,E258)</f>
        <v>9838848</v>
      </c>
      <c r="G258" s="7"/>
      <c r="H258" s="7">
        <f t="shared" si="14"/>
        <v>2.4993938037416299E-2</v>
      </c>
      <c r="I258" s="7"/>
    </row>
    <row r="259" spans="1:9" x14ac:dyDescent="0.25">
      <c r="A259" s="5">
        <v>258</v>
      </c>
      <c r="B259" s="6">
        <v>44154</v>
      </c>
      <c r="C259" s="7">
        <v>607</v>
      </c>
      <c r="D259" s="7">
        <f t="shared" si="13"/>
        <v>4361</v>
      </c>
      <c r="E259" s="7">
        <f t="shared" si="15"/>
        <v>158000</v>
      </c>
      <c r="F259" s="7">
        <f>$L$2-SUM(D259,E259)</f>
        <v>9841780</v>
      </c>
      <c r="G259" s="7"/>
      <c r="H259" s="7">
        <f t="shared" si="14"/>
        <v>2.239873417721519E-2</v>
      </c>
      <c r="I259" s="7"/>
    </row>
    <row r="260" spans="1:9" x14ac:dyDescent="0.25">
      <c r="A260" s="5">
        <v>259</v>
      </c>
      <c r="B260" s="6">
        <v>44155</v>
      </c>
      <c r="C260" s="7">
        <v>726</v>
      </c>
      <c r="D260" s="7">
        <f t="shared" si="13"/>
        <v>4207</v>
      </c>
      <c r="E260" s="7">
        <f t="shared" si="15"/>
        <v>154926</v>
      </c>
      <c r="F260" s="7">
        <f>$L$2-SUM(D260,E260)</f>
        <v>9845008</v>
      </c>
      <c r="G260" s="7"/>
      <c r="H260" s="7">
        <f t="shared" si="14"/>
        <v>2.552186205026916E-2</v>
      </c>
      <c r="I260" s="7"/>
    </row>
    <row r="261" spans="1:9" x14ac:dyDescent="0.25">
      <c r="A261" s="5">
        <v>260</v>
      </c>
      <c r="B261" s="6">
        <v>44156</v>
      </c>
      <c r="C261" s="7">
        <v>489</v>
      </c>
      <c r="D261" s="7">
        <f t="shared" si="13"/>
        <v>4119</v>
      </c>
      <c r="E261" s="7">
        <f t="shared" si="15"/>
        <v>151759</v>
      </c>
      <c r="F261" s="7">
        <f>$L$2-SUM(D261,E261)</f>
        <v>9848263</v>
      </c>
      <c r="G261" s="7"/>
      <c r="H261" s="7">
        <f t="shared" si="14"/>
        <v>2.4670694983493564E-2</v>
      </c>
      <c r="I261" s="7"/>
    </row>
    <row r="262" spans="1:9" x14ac:dyDescent="0.25">
      <c r="A262" s="5">
        <v>261</v>
      </c>
      <c r="B262" s="6">
        <v>44157</v>
      </c>
      <c r="C262" s="7">
        <v>387</v>
      </c>
      <c r="D262" s="7">
        <f t="shared" si="13"/>
        <v>4089</v>
      </c>
      <c r="E262" s="7">
        <f t="shared" si="15"/>
        <v>150014</v>
      </c>
      <c r="F262" s="7">
        <f>$L$2-SUM(D262,E262)</f>
        <v>9850038</v>
      </c>
      <c r="G262" s="7"/>
      <c r="H262" s="7">
        <f t="shared" si="14"/>
        <v>1.4411988214433319E-2</v>
      </c>
      <c r="I262" s="7"/>
    </row>
    <row r="263" spans="1:9" x14ac:dyDescent="0.25">
      <c r="A263" s="5">
        <v>262</v>
      </c>
      <c r="B263" s="6">
        <v>44158</v>
      </c>
      <c r="C263" s="7">
        <v>509</v>
      </c>
      <c r="D263" s="7">
        <f t="shared" si="13"/>
        <v>3988</v>
      </c>
      <c r="E263" s="7">
        <f t="shared" si="15"/>
        <v>146724</v>
      </c>
      <c r="F263" s="7">
        <f>$L$2-SUM(D263,E263)</f>
        <v>9853429</v>
      </c>
      <c r="G263" s="7"/>
      <c r="H263" s="7">
        <f t="shared" si="14"/>
        <v>2.6580518524576758E-2</v>
      </c>
      <c r="I263" s="7"/>
    </row>
    <row r="264" spans="1:9" x14ac:dyDescent="0.25">
      <c r="A264" s="5">
        <v>263</v>
      </c>
      <c r="B264" s="6">
        <v>44159</v>
      </c>
      <c r="C264" s="7">
        <v>593</v>
      </c>
      <c r="D264" s="7">
        <f t="shared" si="13"/>
        <v>3942</v>
      </c>
      <c r="E264" s="7">
        <f t="shared" si="15"/>
        <v>143638</v>
      </c>
      <c r="F264" s="7">
        <f>$L$2-SUM(D264,E264)</f>
        <v>9856561</v>
      </c>
      <c r="G264" s="7"/>
      <c r="H264" s="7">
        <f t="shared" si="14"/>
        <v>2.5933248861721828E-2</v>
      </c>
      <c r="I264" s="7"/>
    </row>
    <row r="265" spans="1:9" x14ac:dyDescent="0.25">
      <c r="A265" s="5">
        <v>264</v>
      </c>
      <c r="B265" s="6">
        <v>44160</v>
      </c>
      <c r="C265" s="7">
        <v>589</v>
      </c>
      <c r="D265" s="7">
        <f t="shared" ref="D265:D328" si="16">SUM(C259:C265)</f>
        <v>3900</v>
      </c>
      <c r="E265" s="7">
        <f t="shared" si="15"/>
        <v>140594</v>
      </c>
      <c r="F265" s="7">
        <f>$L$2-SUM(D265,E265)</f>
        <v>9859647</v>
      </c>
      <c r="G265" s="7"/>
      <c r="H265" s="7">
        <f t="shared" si="14"/>
        <v>2.6139095551730517E-2</v>
      </c>
      <c r="I265" s="7"/>
    </row>
    <row r="266" spans="1:9" x14ac:dyDescent="0.25">
      <c r="A266" s="5">
        <v>265</v>
      </c>
      <c r="B266" s="6">
        <v>44161</v>
      </c>
      <c r="C266" s="7">
        <v>517</v>
      </c>
      <c r="D266" s="7">
        <f t="shared" si="16"/>
        <v>3810</v>
      </c>
      <c r="E266" s="7">
        <f t="shared" si="15"/>
        <v>138109</v>
      </c>
      <c r="F266" s="7">
        <f>$L$2-SUM(D266,E266)</f>
        <v>9862222</v>
      </c>
      <c r="G266" s="7"/>
      <c r="H266" s="7">
        <f t="shared" si="14"/>
        <v>2.23881137362518E-2</v>
      </c>
      <c r="I266" s="7"/>
    </row>
    <row r="267" spans="1:9" x14ac:dyDescent="0.25">
      <c r="A267" s="5">
        <v>266</v>
      </c>
      <c r="B267" s="6">
        <v>44162</v>
      </c>
      <c r="C267" s="7">
        <v>710</v>
      </c>
      <c r="D267" s="7">
        <f t="shared" si="16"/>
        <v>3794</v>
      </c>
      <c r="E267" s="7">
        <f t="shared" si="15"/>
        <v>135584</v>
      </c>
      <c r="F267" s="7">
        <f>$L$2-SUM(D267,E267)</f>
        <v>9864763</v>
      </c>
      <c r="G267" s="7"/>
      <c r="H267" s="7">
        <f t="shared" si="14"/>
        <v>2.3977755487373142E-2</v>
      </c>
      <c r="I267" s="7"/>
    </row>
    <row r="268" spans="1:9" x14ac:dyDescent="0.25">
      <c r="A268" s="5">
        <v>267</v>
      </c>
      <c r="B268" s="6">
        <v>44163</v>
      </c>
      <c r="C268" s="7">
        <v>403</v>
      </c>
      <c r="D268" s="7">
        <f t="shared" si="16"/>
        <v>3708</v>
      </c>
      <c r="E268" s="7">
        <f t="shared" si="15"/>
        <v>133299</v>
      </c>
      <c r="F268" s="7">
        <f>$L$2-SUM(D268,E268)</f>
        <v>9867134</v>
      </c>
      <c r="G268" s="7"/>
      <c r="H268" s="7">
        <f t="shared" si="14"/>
        <v>2.0810358667356844E-2</v>
      </c>
      <c r="I268" s="7"/>
    </row>
    <row r="269" spans="1:9" x14ac:dyDescent="0.25">
      <c r="A269" s="5">
        <v>268</v>
      </c>
      <c r="B269" s="6">
        <v>44164</v>
      </c>
      <c r="C269" s="7">
        <v>462</v>
      </c>
      <c r="D269" s="7">
        <f t="shared" si="16"/>
        <v>3783</v>
      </c>
      <c r="E269" s="7">
        <f t="shared" si="15"/>
        <v>132483</v>
      </c>
      <c r="F269" s="7">
        <f>$L$2-SUM(D269,E269)</f>
        <v>9867875</v>
      </c>
      <c r="G269" s="7"/>
      <c r="H269" s="7">
        <f t="shared" si="14"/>
        <v>9.0804103167953631E-3</v>
      </c>
      <c r="I269" s="7"/>
    </row>
    <row r="270" spans="1:9" x14ac:dyDescent="0.25">
      <c r="A270" s="5">
        <v>269</v>
      </c>
      <c r="B270" s="6">
        <v>44165</v>
      </c>
      <c r="C270" s="7">
        <v>689</v>
      </c>
      <c r="D270" s="7">
        <f t="shared" si="16"/>
        <v>3963</v>
      </c>
      <c r="E270" s="7">
        <f t="shared" si="15"/>
        <v>130097</v>
      </c>
      <c r="F270" s="7">
        <f>$L$2-SUM(D270,E270)</f>
        <v>9870081</v>
      </c>
      <c r="G270" s="7"/>
      <c r="H270" s="7">
        <f t="shared" si="14"/>
        <v>2.2252626886092686E-2</v>
      </c>
      <c r="I270" s="7"/>
    </row>
    <row r="271" spans="1:9" x14ac:dyDescent="0.25">
      <c r="A271" s="5">
        <v>270</v>
      </c>
      <c r="B271" s="6">
        <v>44166</v>
      </c>
      <c r="C271" s="7">
        <v>599</v>
      </c>
      <c r="D271" s="7">
        <f t="shared" si="16"/>
        <v>3969</v>
      </c>
      <c r="E271" s="7">
        <f t="shared" si="15"/>
        <v>127484</v>
      </c>
      <c r="F271" s="7">
        <f>$L$2-SUM(D271,E271)</f>
        <v>9872688</v>
      </c>
      <c r="G271" s="7"/>
      <c r="H271" s="7">
        <f t="shared" si="14"/>
        <v>2.5148253898528442E-2</v>
      </c>
      <c r="I271" s="7"/>
    </row>
    <row r="272" spans="1:9" x14ac:dyDescent="0.25">
      <c r="A272" s="5">
        <v>271</v>
      </c>
      <c r="B272" s="6">
        <v>44167</v>
      </c>
      <c r="C272" s="7">
        <v>551</v>
      </c>
      <c r="D272" s="7">
        <f t="shared" si="16"/>
        <v>3931</v>
      </c>
      <c r="E272" s="7">
        <f t="shared" si="15"/>
        <v>124747</v>
      </c>
      <c r="F272" s="7">
        <f>$L$2-SUM(D272,E272)</f>
        <v>9875463</v>
      </c>
      <c r="G272" s="7"/>
      <c r="H272" s="7">
        <f t="shared" si="14"/>
        <v>2.6661963814761075E-2</v>
      </c>
      <c r="I272" s="7"/>
    </row>
    <row r="273" spans="1:9" x14ac:dyDescent="0.25">
      <c r="A273" s="5">
        <v>272</v>
      </c>
      <c r="B273" s="6">
        <v>44168</v>
      </c>
      <c r="C273" s="7">
        <v>668</v>
      </c>
      <c r="D273" s="7">
        <f t="shared" si="16"/>
        <v>4082</v>
      </c>
      <c r="E273" s="7">
        <f t="shared" si="15"/>
        <v>122070</v>
      </c>
      <c r="F273" s="7">
        <f>$L$2-SUM(D273,E273)</f>
        <v>9877989</v>
      </c>
      <c r="G273" s="7"/>
      <c r="H273" s="7">
        <f t="shared" si="14"/>
        <v>2.6165314983206359E-2</v>
      </c>
      <c r="I273" s="7"/>
    </row>
    <row r="274" spans="1:9" x14ac:dyDescent="0.25">
      <c r="A274" s="5">
        <v>273</v>
      </c>
      <c r="B274" s="6">
        <v>44169</v>
      </c>
      <c r="C274" s="7">
        <v>541</v>
      </c>
      <c r="D274" s="7">
        <f t="shared" si="16"/>
        <v>3913</v>
      </c>
      <c r="E274" s="7">
        <f t="shared" si="15"/>
        <v>118843</v>
      </c>
      <c r="F274" s="7">
        <f>$L$2-SUM(D274,E274)</f>
        <v>9881385</v>
      </c>
      <c r="G274" s="7"/>
      <c r="H274" s="7">
        <f t="shared" si="14"/>
        <v>3.3127739959442293E-2</v>
      </c>
      <c r="I274" s="7"/>
    </row>
    <row r="275" spans="1:9" x14ac:dyDescent="0.25">
      <c r="A275" s="5">
        <v>274</v>
      </c>
      <c r="B275" s="6">
        <v>44170</v>
      </c>
      <c r="C275" s="7">
        <v>423</v>
      </c>
      <c r="D275" s="7">
        <f t="shared" si="16"/>
        <v>3933</v>
      </c>
      <c r="E275" s="7">
        <f t="shared" si="15"/>
        <v>116610</v>
      </c>
      <c r="F275" s="7">
        <f>$L$2-SUM(D275,E275)</f>
        <v>9883598</v>
      </c>
      <c r="G275" s="7"/>
      <c r="H275" s="7">
        <f t="shared" si="14"/>
        <v>2.2605265414629962E-2</v>
      </c>
      <c r="I275" s="7"/>
    </row>
    <row r="276" spans="1:9" x14ac:dyDescent="0.25">
      <c r="A276" s="5">
        <v>275</v>
      </c>
      <c r="B276" s="6">
        <v>44172</v>
      </c>
      <c r="C276" s="7">
        <v>664</v>
      </c>
      <c r="D276" s="7">
        <f t="shared" si="16"/>
        <v>4135</v>
      </c>
      <c r="E276" s="7">
        <f t="shared" si="15"/>
        <v>115806</v>
      </c>
      <c r="F276" s="7">
        <f>$L$2-SUM(D276,E276)</f>
        <v>9884200</v>
      </c>
      <c r="G276" s="7"/>
      <c r="H276" s="7">
        <f t="shared" si="14"/>
        <v>1.0932076058235325E-2</v>
      </c>
      <c r="I276" s="7"/>
    </row>
    <row r="277" spans="1:9" x14ac:dyDescent="0.25">
      <c r="A277" s="5">
        <v>276</v>
      </c>
      <c r="B277" s="6">
        <v>44173</v>
      </c>
      <c r="C277" s="7">
        <v>328</v>
      </c>
      <c r="D277" s="7">
        <f t="shared" si="16"/>
        <v>3774</v>
      </c>
      <c r="E277" s="7">
        <f t="shared" si="15"/>
        <v>113944</v>
      </c>
      <c r="F277" s="7">
        <f>$L$2-SUM(D277,E277)</f>
        <v>9886423</v>
      </c>
      <c r="G277" s="7"/>
      <c r="H277" s="7">
        <f t="shared" si="14"/>
        <v>2.2388190690163588E-2</v>
      </c>
      <c r="I277" s="7"/>
    </row>
    <row r="278" spans="1:9" x14ac:dyDescent="0.25">
      <c r="A278" s="5">
        <v>277</v>
      </c>
      <c r="B278" s="6">
        <v>44174</v>
      </c>
      <c r="C278" s="7">
        <v>633</v>
      </c>
      <c r="D278" s="7">
        <f t="shared" si="16"/>
        <v>3808</v>
      </c>
      <c r="E278" s="7">
        <f t="shared" si="15"/>
        <v>112080</v>
      </c>
      <c r="F278" s="7">
        <f>$L$2-SUM(D278,E278)</f>
        <v>9888253</v>
      </c>
      <c r="G278" s="7"/>
      <c r="H278" s="7">
        <f t="shared" si="14"/>
        <v>2.1975374732334046E-2</v>
      </c>
      <c r="I278" s="7"/>
    </row>
    <row r="279" spans="1:9" x14ac:dyDescent="0.25">
      <c r="A279" s="5">
        <v>278</v>
      </c>
      <c r="B279" s="6">
        <v>44175</v>
      </c>
      <c r="C279" s="7">
        <v>508</v>
      </c>
      <c r="D279" s="7">
        <f t="shared" si="16"/>
        <v>3765</v>
      </c>
      <c r="E279" s="7">
        <f t="shared" si="15"/>
        <v>110166</v>
      </c>
      <c r="F279" s="7">
        <f>$L$2-SUM(D279,E279)</f>
        <v>9890210</v>
      </c>
      <c r="G279" s="7"/>
      <c r="H279" s="7">
        <f t="shared" si="14"/>
        <v>2.237532451028448E-2</v>
      </c>
      <c r="I279" s="7"/>
    </row>
    <row r="280" spans="1:9" x14ac:dyDescent="0.25">
      <c r="A280" s="5">
        <v>279</v>
      </c>
      <c r="B280" s="6">
        <v>44176</v>
      </c>
      <c r="C280" s="7">
        <v>661</v>
      </c>
      <c r="D280" s="7">
        <f t="shared" si="16"/>
        <v>3758</v>
      </c>
      <c r="E280" s="7">
        <f t="shared" si="15"/>
        <v>108939</v>
      </c>
      <c r="F280" s="7">
        <f>$L$2-SUM(D280,E280)</f>
        <v>9891444</v>
      </c>
      <c r="G280" s="7"/>
      <c r="H280" s="7">
        <f t="shared" si="14"/>
        <v>1.7395055948741956E-2</v>
      </c>
      <c r="I280" s="7"/>
    </row>
    <row r="281" spans="1:9" x14ac:dyDescent="0.25">
      <c r="A281" s="5">
        <v>280</v>
      </c>
      <c r="B281" s="6">
        <v>44177</v>
      </c>
      <c r="C281" s="7">
        <v>677</v>
      </c>
      <c r="D281" s="7">
        <f t="shared" si="16"/>
        <v>3894</v>
      </c>
      <c r="E281" s="7">
        <f t="shared" si="15"/>
        <v>106198</v>
      </c>
      <c r="F281" s="7">
        <f>$L$2-SUM(D281,E281)</f>
        <v>9894049</v>
      </c>
      <c r="G281" s="7"/>
      <c r="H281" s="7">
        <f t="shared" si="14"/>
        <v>3.0904536808602799E-2</v>
      </c>
      <c r="I281" s="7"/>
    </row>
    <row r="282" spans="1:9" x14ac:dyDescent="0.25">
      <c r="A282" s="5">
        <v>281</v>
      </c>
      <c r="B282" s="6">
        <v>44178</v>
      </c>
      <c r="C282" s="7">
        <v>443</v>
      </c>
      <c r="D282" s="7">
        <f t="shared" si="16"/>
        <v>3914</v>
      </c>
      <c r="E282" s="7">
        <f t="shared" si="15"/>
        <v>104802</v>
      </c>
      <c r="F282" s="7">
        <f>$L$2-SUM(D282,E282)</f>
        <v>9895425</v>
      </c>
      <c r="G282" s="7"/>
      <c r="H282" s="7">
        <f t="shared" si="14"/>
        <v>1.735653899734738E-2</v>
      </c>
      <c r="I282" s="7"/>
    </row>
    <row r="283" spans="1:9" x14ac:dyDescent="0.25">
      <c r="A283" s="5">
        <v>282</v>
      </c>
      <c r="B283" s="6">
        <v>44179</v>
      </c>
      <c r="C283" s="7">
        <v>550</v>
      </c>
      <c r="D283" s="7">
        <f t="shared" si="16"/>
        <v>3800</v>
      </c>
      <c r="E283" s="7">
        <f t="shared" si="15"/>
        <v>104527</v>
      </c>
      <c r="F283" s="7">
        <f>$L$2-SUM(D283,E283)</f>
        <v>9895814</v>
      </c>
      <c r="G283" s="7"/>
      <c r="H283" s="7">
        <f t="shared" si="14"/>
        <v>8.9833248825662276E-3</v>
      </c>
      <c r="I283" s="7"/>
    </row>
    <row r="284" spans="1:9" x14ac:dyDescent="0.25">
      <c r="A284" s="5">
        <v>283</v>
      </c>
      <c r="B284" s="6">
        <v>44180</v>
      </c>
      <c r="C284" s="7">
        <v>573</v>
      </c>
      <c r="D284" s="7">
        <f t="shared" si="16"/>
        <v>4045</v>
      </c>
      <c r="E284" s="7">
        <f t="shared" si="15"/>
        <v>102469</v>
      </c>
      <c r="F284" s="7">
        <f>$L$2-SUM(D284,E284)</f>
        <v>9897627</v>
      </c>
      <c r="G284" s="7"/>
      <c r="H284" s="7">
        <f t="shared" si="14"/>
        <v>2.3285091100723146E-2</v>
      </c>
      <c r="I284" s="7"/>
    </row>
    <row r="285" spans="1:9" x14ac:dyDescent="0.25">
      <c r="A285" s="5">
        <v>284</v>
      </c>
      <c r="B285" s="6">
        <v>44181</v>
      </c>
      <c r="C285" s="7">
        <v>667</v>
      </c>
      <c r="D285" s="7">
        <f t="shared" si="16"/>
        <v>4079</v>
      </c>
      <c r="E285" s="7">
        <f t="shared" si="15"/>
        <v>100906</v>
      </c>
      <c r="F285" s="7">
        <f>$L$2-SUM(D285,E285)</f>
        <v>9899156</v>
      </c>
      <c r="G285" s="7"/>
      <c r="H285" s="7">
        <f t="shared" si="14"/>
        <v>2.1762828771331736E-2</v>
      </c>
      <c r="I285" s="7"/>
    </row>
    <row r="286" spans="1:9" x14ac:dyDescent="0.25">
      <c r="A286" s="5">
        <v>285</v>
      </c>
      <c r="B286" s="6">
        <v>44182</v>
      </c>
      <c r="C286" s="7">
        <v>852</v>
      </c>
      <c r="D286" s="7">
        <f t="shared" si="16"/>
        <v>4423</v>
      </c>
      <c r="E286" s="7">
        <f t="shared" si="15"/>
        <v>98778</v>
      </c>
      <c r="F286" s="7">
        <f>$L$2-SUM(D286,E286)</f>
        <v>9900940</v>
      </c>
      <c r="G286" s="7"/>
      <c r="H286" s="7">
        <f t="shared" si="14"/>
        <v>2.6686104193241411E-2</v>
      </c>
      <c r="I286" s="7"/>
    </row>
    <row r="287" spans="1:9" x14ac:dyDescent="0.25">
      <c r="A287" s="5">
        <v>286</v>
      </c>
      <c r="B287" s="6">
        <v>44183</v>
      </c>
      <c r="C287" s="7">
        <v>643</v>
      </c>
      <c r="D287" s="7">
        <f t="shared" si="16"/>
        <v>4405</v>
      </c>
      <c r="E287" s="7">
        <f t="shared" si="15"/>
        <v>97936</v>
      </c>
      <c r="F287" s="7">
        <f>$L$2-SUM(D287,E287)</f>
        <v>9901800</v>
      </c>
      <c r="G287" s="7"/>
      <c r="H287" s="7">
        <f t="shared" si="14"/>
        <v>1.5346757065838915E-2</v>
      </c>
      <c r="I287" s="7"/>
    </row>
    <row r="288" spans="1:9" x14ac:dyDescent="0.25">
      <c r="A288" s="5">
        <v>287</v>
      </c>
      <c r="B288" s="6">
        <v>44184</v>
      </c>
      <c r="C288" s="7">
        <v>549</v>
      </c>
      <c r="D288" s="7">
        <f t="shared" si="16"/>
        <v>4277</v>
      </c>
      <c r="E288" s="7">
        <f t="shared" si="15"/>
        <v>94602</v>
      </c>
      <c r="F288" s="7">
        <f>$L$2-SUM(D288,E288)</f>
        <v>9905262</v>
      </c>
      <c r="G288" s="7"/>
      <c r="H288" s="7">
        <f t="shared" si="14"/>
        <v>4.2398680788989659E-2</v>
      </c>
      <c r="I288" s="7"/>
    </row>
    <row r="289" spans="1:9" x14ac:dyDescent="0.25">
      <c r="A289" s="5">
        <v>288</v>
      </c>
      <c r="B289" s="6">
        <v>44185</v>
      </c>
      <c r="C289" s="7">
        <v>454</v>
      </c>
      <c r="D289" s="7">
        <f t="shared" si="16"/>
        <v>4288</v>
      </c>
      <c r="E289" s="7">
        <f t="shared" si="15"/>
        <v>92869</v>
      </c>
      <c r="F289" s="7">
        <f>$L$2-SUM(D289,E289)</f>
        <v>9906984</v>
      </c>
      <c r="G289" s="7"/>
      <c r="H289" s="7">
        <f t="shared" si="14"/>
        <v>2.3430854214000367E-2</v>
      </c>
      <c r="I289" s="7"/>
    </row>
    <row r="290" spans="1:9" x14ac:dyDescent="0.25">
      <c r="A290" s="5">
        <v>289</v>
      </c>
      <c r="B290" s="6">
        <v>44186</v>
      </c>
      <c r="C290" s="7">
        <v>730</v>
      </c>
      <c r="D290" s="7">
        <f t="shared" si="16"/>
        <v>4468</v>
      </c>
      <c r="E290" s="7">
        <f t="shared" si="15"/>
        <v>92373</v>
      </c>
      <c r="F290" s="7">
        <f>$L$2-SUM(D290,E290)</f>
        <v>9907300</v>
      </c>
      <c r="G290" s="7"/>
      <c r="H290" s="7">
        <f t="shared" si="14"/>
        <v>1.1323655180626373E-2</v>
      </c>
      <c r="I290" s="7"/>
    </row>
    <row r="291" spans="1:9" x14ac:dyDescent="0.25">
      <c r="A291" s="5">
        <v>290</v>
      </c>
      <c r="B291" s="6">
        <v>44187</v>
      </c>
      <c r="C291" s="7">
        <v>703</v>
      </c>
      <c r="D291" s="7">
        <f t="shared" si="16"/>
        <v>4598</v>
      </c>
      <c r="E291" s="7">
        <f t="shared" si="15"/>
        <v>90997</v>
      </c>
      <c r="F291" s="7">
        <f>$L$2-SUM(D291,E291)</f>
        <v>9908546</v>
      </c>
      <c r="G291" s="7"/>
      <c r="H291" s="7">
        <f t="shared" ref="H291:H354" si="17">C194/E291</f>
        <v>2.141828851500599E-2</v>
      </c>
      <c r="I291" s="7"/>
    </row>
    <row r="292" spans="1:9" x14ac:dyDescent="0.25">
      <c r="A292" s="5">
        <v>291</v>
      </c>
      <c r="B292" s="6">
        <v>44188</v>
      </c>
      <c r="C292" s="7">
        <v>682</v>
      </c>
      <c r="D292" s="7">
        <f t="shared" si="16"/>
        <v>4613</v>
      </c>
      <c r="E292" s="7">
        <f t="shared" ref="E292:E355" si="18">SUM(C196:C285)</f>
        <v>89728</v>
      </c>
      <c r="F292" s="7">
        <f>$L$2-SUM(D292,E292)</f>
        <v>9909800</v>
      </c>
      <c r="G292" s="7"/>
      <c r="H292" s="7">
        <f t="shared" si="17"/>
        <v>2.1576319543509272E-2</v>
      </c>
      <c r="I292" s="7"/>
    </row>
    <row r="293" spans="1:9" x14ac:dyDescent="0.25">
      <c r="A293" s="5">
        <v>292</v>
      </c>
      <c r="B293" s="6">
        <v>44189</v>
      </c>
      <c r="C293" s="7">
        <v>562</v>
      </c>
      <c r="D293" s="7">
        <f t="shared" si="16"/>
        <v>4323</v>
      </c>
      <c r="E293" s="7">
        <f t="shared" si="18"/>
        <v>88521</v>
      </c>
      <c r="F293" s="7">
        <f>$L$2-SUM(D293,E293)</f>
        <v>9911297</v>
      </c>
      <c r="G293" s="7"/>
      <c r="H293" s="7">
        <f t="shared" si="17"/>
        <v>2.3260017397001842E-2</v>
      </c>
      <c r="I293" s="7"/>
    </row>
    <row r="294" spans="1:9" x14ac:dyDescent="0.25">
      <c r="A294" s="5">
        <v>293</v>
      </c>
      <c r="B294" s="6">
        <v>44190</v>
      </c>
      <c r="C294" s="7">
        <v>456</v>
      </c>
      <c r="D294" s="7">
        <f t="shared" si="16"/>
        <v>4136</v>
      </c>
      <c r="E294" s="7">
        <f t="shared" si="18"/>
        <v>86466</v>
      </c>
      <c r="F294" s="7">
        <f>$L$2-SUM(D294,E294)</f>
        <v>9913539</v>
      </c>
      <c r="G294" s="7"/>
      <c r="H294" s="7">
        <f t="shared" si="17"/>
        <v>3.1203016214465803E-2</v>
      </c>
      <c r="I294" s="7"/>
    </row>
    <row r="295" spans="1:9" x14ac:dyDescent="0.25">
      <c r="A295" s="5">
        <v>294</v>
      </c>
      <c r="B295" s="6">
        <v>44191</v>
      </c>
      <c r="C295" s="7">
        <v>677</v>
      </c>
      <c r="D295" s="7">
        <f t="shared" si="16"/>
        <v>4264</v>
      </c>
      <c r="E295" s="7">
        <f t="shared" si="18"/>
        <v>84549</v>
      </c>
      <c r="F295" s="7">
        <f>$L$2-SUM(D295,E295)</f>
        <v>9915328</v>
      </c>
      <c r="G295" s="7"/>
      <c r="H295" s="7">
        <f t="shared" si="17"/>
        <v>2.9166518823404181E-2</v>
      </c>
      <c r="I295" s="7"/>
    </row>
    <row r="296" spans="1:9" x14ac:dyDescent="0.25">
      <c r="A296" s="5">
        <v>295</v>
      </c>
      <c r="B296" s="6">
        <v>44192</v>
      </c>
      <c r="C296" s="7">
        <v>596</v>
      </c>
      <c r="D296" s="7">
        <f t="shared" si="16"/>
        <v>4406</v>
      </c>
      <c r="E296" s="7">
        <f t="shared" si="18"/>
        <v>82816</v>
      </c>
      <c r="F296" s="7">
        <f>$L$2-SUM(D296,E296)</f>
        <v>9916919</v>
      </c>
      <c r="G296" s="7"/>
      <c r="H296" s="7">
        <f t="shared" si="17"/>
        <v>2.6407940494590419E-2</v>
      </c>
      <c r="I296" s="7"/>
    </row>
    <row r="297" spans="1:9" x14ac:dyDescent="0.25">
      <c r="A297" s="5">
        <v>296</v>
      </c>
      <c r="B297" s="6">
        <v>44193</v>
      </c>
      <c r="C297" s="7">
        <v>666</v>
      </c>
      <c r="D297" s="7">
        <f t="shared" si="16"/>
        <v>4342</v>
      </c>
      <c r="E297" s="7">
        <f t="shared" si="18"/>
        <v>82702</v>
      </c>
      <c r="F297" s="7">
        <f>$L$2-SUM(D297,E297)</f>
        <v>9917097</v>
      </c>
      <c r="G297" s="7"/>
      <c r="H297" s="7">
        <f t="shared" si="17"/>
        <v>1.0205315470000725E-2</v>
      </c>
      <c r="I297" s="7"/>
    </row>
    <row r="298" spans="1:9" x14ac:dyDescent="0.25">
      <c r="A298" s="5">
        <v>297</v>
      </c>
      <c r="B298" s="6">
        <v>44194</v>
      </c>
      <c r="C298" s="7">
        <v>780</v>
      </c>
      <c r="D298" s="7">
        <f t="shared" si="16"/>
        <v>4419</v>
      </c>
      <c r="E298" s="7">
        <f t="shared" si="18"/>
        <v>81460</v>
      </c>
      <c r="F298" s="7">
        <f>$L$2-SUM(D298,E298)</f>
        <v>9918262</v>
      </c>
      <c r="G298" s="7"/>
      <c r="H298" s="7">
        <f t="shared" si="17"/>
        <v>2.3876749324821998E-2</v>
      </c>
      <c r="I298" s="7"/>
    </row>
    <row r="299" spans="1:9" x14ac:dyDescent="0.25">
      <c r="A299" s="5">
        <v>298</v>
      </c>
      <c r="B299" s="6">
        <v>44195</v>
      </c>
      <c r="C299" s="7">
        <v>1228</v>
      </c>
      <c r="D299" s="7">
        <f t="shared" si="16"/>
        <v>4965</v>
      </c>
      <c r="E299" s="7">
        <f t="shared" si="18"/>
        <v>80110</v>
      </c>
      <c r="F299" s="7">
        <f>$L$2-SUM(D299,E299)</f>
        <v>9919066</v>
      </c>
      <c r="G299" s="7"/>
      <c r="H299" s="7">
        <f t="shared" si="17"/>
        <v>2.5365122955935588E-2</v>
      </c>
      <c r="I299" s="7"/>
    </row>
    <row r="300" spans="1:9" x14ac:dyDescent="0.25">
      <c r="A300" s="5">
        <v>299</v>
      </c>
      <c r="B300" s="6">
        <v>44196</v>
      </c>
      <c r="C300" s="7">
        <v>619</v>
      </c>
      <c r="D300" s="7">
        <f t="shared" si="16"/>
        <v>5022</v>
      </c>
      <c r="E300" s="7">
        <f t="shared" si="18"/>
        <v>78596</v>
      </c>
      <c r="F300" s="7">
        <f>$L$2-SUM(D300,E300)</f>
        <v>9920523</v>
      </c>
      <c r="G300" s="7"/>
      <c r="H300" s="7">
        <f t="shared" si="17"/>
        <v>2.6413557941879995E-2</v>
      </c>
      <c r="I300" s="7"/>
    </row>
    <row r="301" spans="1:9" x14ac:dyDescent="0.25">
      <c r="A301" s="5">
        <v>300</v>
      </c>
      <c r="B301" s="6">
        <v>44197</v>
      </c>
      <c r="C301" s="7">
        <v>473</v>
      </c>
      <c r="D301" s="7">
        <f t="shared" si="16"/>
        <v>5039</v>
      </c>
      <c r="E301" s="7">
        <f t="shared" si="18"/>
        <v>77012</v>
      </c>
      <c r="F301" s="7">
        <f>$L$2-SUM(D301,E301)</f>
        <v>9922090</v>
      </c>
      <c r="G301" s="7"/>
      <c r="H301" s="7">
        <f t="shared" si="17"/>
        <v>2.6489378278709813E-2</v>
      </c>
      <c r="I301" s="7"/>
    </row>
    <row r="302" spans="1:9" x14ac:dyDescent="0.25">
      <c r="A302" s="5">
        <v>301</v>
      </c>
      <c r="B302" s="6">
        <v>44198</v>
      </c>
      <c r="C302" s="7">
        <v>911</v>
      </c>
      <c r="D302" s="7">
        <f t="shared" si="16"/>
        <v>5273</v>
      </c>
      <c r="E302" s="7">
        <f t="shared" si="18"/>
        <v>75721</v>
      </c>
      <c r="F302" s="7">
        <f>$L$2-SUM(D302,E302)</f>
        <v>9923147</v>
      </c>
      <c r="G302" s="7"/>
      <c r="H302" s="7">
        <f t="shared" si="17"/>
        <v>2.5990148043475391E-2</v>
      </c>
      <c r="I302" s="7"/>
    </row>
    <row r="303" spans="1:9" x14ac:dyDescent="0.25">
      <c r="A303" s="5">
        <v>302</v>
      </c>
      <c r="B303" s="6">
        <v>44199</v>
      </c>
      <c r="C303" s="7">
        <v>1097</v>
      </c>
      <c r="D303" s="7">
        <f t="shared" si="16"/>
        <v>5774</v>
      </c>
      <c r="E303" s="7">
        <f t="shared" si="18"/>
        <v>74710</v>
      </c>
      <c r="F303" s="7">
        <f>$L$2-SUM(D303,E303)</f>
        <v>9923657</v>
      </c>
      <c r="G303" s="7"/>
      <c r="H303" s="7">
        <f t="shared" si="17"/>
        <v>2.150983804042297E-2</v>
      </c>
      <c r="I303" s="7"/>
    </row>
    <row r="304" spans="1:9" x14ac:dyDescent="0.25">
      <c r="A304" s="5">
        <v>303</v>
      </c>
      <c r="B304" s="6">
        <v>44200</v>
      </c>
      <c r="C304" s="7">
        <v>719</v>
      </c>
      <c r="D304" s="7">
        <f t="shared" si="16"/>
        <v>5827</v>
      </c>
      <c r="E304" s="7">
        <f t="shared" si="18"/>
        <v>74173</v>
      </c>
      <c r="F304" s="7">
        <f>$L$2-SUM(D304,E304)</f>
        <v>9924141</v>
      </c>
      <c r="G304" s="7"/>
      <c r="H304" s="7">
        <f t="shared" si="17"/>
        <v>1.6218839739527861E-2</v>
      </c>
      <c r="I304" s="7"/>
    </row>
    <row r="305" spans="1:9" x14ac:dyDescent="0.25">
      <c r="A305" s="5">
        <v>304</v>
      </c>
      <c r="B305" s="6">
        <v>44201</v>
      </c>
      <c r="C305" s="7">
        <v>1096</v>
      </c>
      <c r="D305" s="7">
        <f t="shared" si="16"/>
        <v>6143</v>
      </c>
      <c r="E305" s="7">
        <f t="shared" si="18"/>
        <v>73812</v>
      </c>
      <c r="F305" s="7">
        <f>$L$2-SUM(D305,E305)</f>
        <v>9924186</v>
      </c>
      <c r="G305" s="7"/>
      <c r="H305" s="7">
        <f t="shared" si="17"/>
        <v>1.5458191080041185E-2</v>
      </c>
      <c r="I305" s="7"/>
    </row>
    <row r="306" spans="1:9" x14ac:dyDescent="0.25">
      <c r="A306" s="5">
        <v>305</v>
      </c>
      <c r="B306" s="6">
        <v>44202</v>
      </c>
      <c r="C306" s="7">
        <v>1419</v>
      </c>
      <c r="D306" s="7">
        <f t="shared" si="16"/>
        <v>6334</v>
      </c>
      <c r="E306" s="7">
        <f t="shared" si="18"/>
        <v>73654</v>
      </c>
      <c r="F306" s="7">
        <f>$L$2-SUM(D306,E306)</f>
        <v>9924153</v>
      </c>
      <c r="G306" s="7"/>
      <c r="H306" s="7">
        <f t="shared" si="17"/>
        <v>1.8817715263257935E-2</v>
      </c>
      <c r="I306" s="7"/>
    </row>
    <row r="307" spans="1:9" x14ac:dyDescent="0.25">
      <c r="A307" s="5">
        <v>306</v>
      </c>
      <c r="B307" s="6">
        <v>44203</v>
      </c>
      <c r="C307" s="7">
        <v>1688</v>
      </c>
      <c r="D307" s="7">
        <f t="shared" si="16"/>
        <v>7403</v>
      </c>
      <c r="E307" s="7">
        <f t="shared" si="18"/>
        <v>72686</v>
      </c>
      <c r="F307" s="7">
        <f>$L$2-SUM(D307,E307)</f>
        <v>9924052</v>
      </c>
      <c r="G307" s="7"/>
      <c r="H307" s="7">
        <f t="shared" si="17"/>
        <v>2.1833640591035413E-2</v>
      </c>
      <c r="I307" s="7"/>
    </row>
    <row r="308" spans="1:9" x14ac:dyDescent="0.25">
      <c r="A308" s="5">
        <v>307</v>
      </c>
      <c r="B308" s="6">
        <v>44204</v>
      </c>
      <c r="C308" s="7">
        <v>2151</v>
      </c>
      <c r="D308" s="7">
        <f t="shared" si="16"/>
        <v>9081</v>
      </c>
      <c r="E308" s="7">
        <f t="shared" si="18"/>
        <v>71847</v>
      </c>
      <c r="F308" s="7">
        <f>$L$2-SUM(D308,E308)</f>
        <v>9923213</v>
      </c>
      <c r="G308" s="7"/>
      <c r="H308" s="7">
        <f t="shared" si="17"/>
        <v>1.8261026904394059E-2</v>
      </c>
      <c r="I308" s="7"/>
    </row>
    <row r="309" spans="1:9" x14ac:dyDescent="0.25">
      <c r="A309" s="5">
        <v>308</v>
      </c>
      <c r="B309" s="6">
        <v>44205</v>
      </c>
      <c r="C309" s="7">
        <v>1497</v>
      </c>
      <c r="D309" s="7">
        <f t="shared" si="16"/>
        <v>9667</v>
      </c>
      <c r="E309" s="7">
        <f t="shared" si="18"/>
        <v>70921</v>
      </c>
      <c r="F309" s="7">
        <f>$L$2-SUM(D309,E309)</f>
        <v>9923553</v>
      </c>
      <c r="G309" s="7"/>
      <c r="H309" s="7">
        <f t="shared" si="17"/>
        <v>2.5902060038634538E-2</v>
      </c>
      <c r="I309" s="7"/>
    </row>
    <row r="310" spans="1:9" x14ac:dyDescent="0.25">
      <c r="A310" s="5">
        <v>309</v>
      </c>
      <c r="B310" s="6">
        <v>44206</v>
      </c>
      <c r="C310" s="7">
        <v>1265</v>
      </c>
      <c r="D310" s="7">
        <f t="shared" si="16"/>
        <v>9835</v>
      </c>
      <c r="E310" s="7">
        <f t="shared" si="18"/>
        <v>70726</v>
      </c>
      <c r="F310" s="7">
        <f>$L$2-SUM(D310,E310)</f>
        <v>9923580</v>
      </c>
      <c r="G310" s="7"/>
      <c r="H310" s="7">
        <f t="shared" si="17"/>
        <v>1.8267680909425106E-2</v>
      </c>
      <c r="I310" s="7"/>
    </row>
    <row r="311" spans="1:9" x14ac:dyDescent="0.25">
      <c r="A311" s="5">
        <v>310</v>
      </c>
      <c r="B311" s="6">
        <v>44207</v>
      </c>
      <c r="C311" s="7">
        <v>1542</v>
      </c>
      <c r="D311" s="7">
        <f t="shared" si="16"/>
        <v>10658</v>
      </c>
      <c r="E311" s="7">
        <f t="shared" si="18"/>
        <v>70769</v>
      </c>
      <c r="F311" s="7">
        <f>$L$2-SUM(D311,E311)</f>
        <v>9922714</v>
      </c>
      <c r="G311" s="7"/>
      <c r="H311" s="7">
        <f t="shared" si="17"/>
        <v>9.5522050615382444E-3</v>
      </c>
      <c r="I311" s="7"/>
    </row>
    <row r="312" spans="1:9" x14ac:dyDescent="0.25">
      <c r="A312" s="5">
        <v>311</v>
      </c>
      <c r="B312" s="6">
        <v>44208</v>
      </c>
      <c r="C312" s="7">
        <v>2272</v>
      </c>
      <c r="D312" s="7">
        <f t="shared" si="16"/>
        <v>11834</v>
      </c>
      <c r="E312" s="7">
        <f t="shared" si="18"/>
        <v>70534</v>
      </c>
      <c r="F312" s="7">
        <f>$L$2-SUM(D312,E312)</f>
        <v>9921773</v>
      </c>
      <c r="G312" s="7"/>
      <c r="H312" s="7">
        <f t="shared" si="17"/>
        <v>1.8870332038449542E-2</v>
      </c>
      <c r="I312" s="7"/>
    </row>
    <row r="313" spans="1:9" x14ac:dyDescent="0.25">
      <c r="A313" s="5">
        <v>312</v>
      </c>
      <c r="B313" s="6">
        <v>44209</v>
      </c>
      <c r="C313" s="7">
        <v>2073</v>
      </c>
      <c r="D313" s="7">
        <f t="shared" si="16"/>
        <v>12488</v>
      </c>
      <c r="E313" s="7">
        <f t="shared" si="18"/>
        <v>70534</v>
      </c>
      <c r="F313" s="7">
        <f>$L$2-SUM(D313,E313)</f>
        <v>9921119</v>
      </c>
      <c r="G313" s="7"/>
      <c r="H313" s="7">
        <f t="shared" si="17"/>
        <v>2.0117957297190008E-2</v>
      </c>
      <c r="I313" s="7"/>
    </row>
    <row r="314" spans="1:9" x14ac:dyDescent="0.25">
      <c r="A314" s="5">
        <v>313</v>
      </c>
      <c r="B314" s="6">
        <v>44210</v>
      </c>
      <c r="C314" s="7">
        <v>1956</v>
      </c>
      <c r="D314" s="7">
        <f t="shared" si="16"/>
        <v>12756</v>
      </c>
      <c r="E314" s="7">
        <f t="shared" si="18"/>
        <v>70904</v>
      </c>
      <c r="F314" s="7">
        <f>$L$2-SUM(D314,E314)</f>
        <v>9920481</v>
      </c>
      <c r="G314" s="7"/>
      <c r="H314" s="7">
        <f t="shared" si="17"/>
        <v>1.8588514047162361E-2</v>
      </c>
      <c r="I314" s="7"/>
    </row>
    <row r="315" spans="1:9" x14ac:dyDescent="0.25">
      <c r="A315" s="5">
        <v>314</v>
      </c>
      <c r="B315" s="6">
        <v>44211</v>
      </c>
      <c r="C315" s="7">
        <v>2324</v>
      </c>
      <c r="D315" s="7">
        <f t="shared" si="16"/>
        <v>12929</v>
      </c>
      <c r="E315" s="7">
        <f t="shared" si="18"/>
        <v>71641</v>
      </c>
      <c r="F315" s="7">
        <f>$L$2-SUM(D315,E315)</f>
        <v>9919571</v>
      </c>
      <c r="G315" s="7"/>
      <c r="H315" s="7">
        <f t="shared" si="17"/>
        <v>1.9737301266034811E-2</v>
      </c>
      <c r="I315" s="7"/>
    </row>
    <row r="316" spans="1:9" x14ac:dyDescent="0.25">
      <c r="A316" s="5">
        <v>315</v>
      </c>
      <c r="B316" s="6">
        <v>44212</v>
      </c>
      <c r="C316" s="7">
        <v>2049</v>
      </c>
      <c r="D316" s="7">
        <f t="shared" si="16"/>
        <v>13481</v>
      </c>
      <c r="E316" s="7">
        <f t="shared" si="18"/>
        <v>71448</v>
      </c>
      <c r="F316" s="7">
        <f>$L$2-SUM(D316,E316)</f>
        <v>9919212</v>
      </c>
      <c r="G316" s="7"/>
      <c r="H316" s="7">
        <f t="shared" si="17"/>
        <v>2.3653566229985445E-2</v>
      </c>
      <c r="I316" s="7"/>
    </row>
    <row r="317" spans="1:9" x14ac:dyDescent="0.25">
      <c r="A317" s="5">
        <v>316</v>
      </c>
      <c r="B317" s="6">
        <v>44213</v>
      </c>
      <c r="C317" s="7">
        <v>2459</v>
      </c>
      <c r="D317" s="7">
        <f t="shared" si="16"/>
        <v>14675</v>
      </c>
      <c r="E317" s="7">
        <f t="shared" si="18"/>
        <v>71657</v>
      </c>
      <c r="F317" s="7">
        <f>$L$2-SUM(D317,E317)</f>
        <v>9917809</v>
      </c>
      <c r="G317" s="7"/>
      <c r="H317" s="7">
        <f t="shared" si="17"/>
        <v>1.4736871484990999E-2</v>
      </c>
      <c r="I317" s="7"/>
    </row>
    <row r="318" spans="1:9" x14ac:dyDescent="0.25">
      <c r="A318" s="5">
        <v>317</v>
      </c>
      <c r="B318" s="6">
        <v>44214</v>
      </c>
      <c r="C318" s="7">
        <v>2650</v>
      </c>
      <c r="D318" s="7">
        <f t="shared" si="16"/>
        <v>15783</v>
      </c>
      <c r="E318" s="7">
        <f t="shared" si="18"/>
        <v>72583</v>
      </c>
      <c r="F318" s="7">
        <f>$L$2-SUM(D318,E318)</f>
        <v>9915775</v>
      </c>
      <c r="G318" s="7"/>
      <c r="H318" s="7">
        <f t="shared" si="17"/>
        <v>8.4868357604397718E-3</v>
      </c>
      <c r="I318" s="7"/>
    </row>
    <row r="319" spans="1:9" x14ac:dyDescent="0.25">
      <c r="A319" s="5">
        <v>318</v>
      </c>
      <c r="B319" s="6">
        <v>44215</v>
      </c>
      <c r="C319" s="7">
        <v>2883</v>
      </c>
      <c r="D319" s="7">
        <f t="shared" si="16"/>
        <v>16394</v>
      </c>
      <c r="E319" s="7">
        <f t="shared" si="18"/>
        <v>73698</v>
      </c>
      <c r="F319" s="7">
        <f>$L$2-SUM(D319,E319)</f>
        <v>9914049</v>
      </c>
      <c r="G319" s="7"/>
      <c r="H319" s="7">
        <f t="shared" si="17"/>
        <v>1.5699204863089906E-2</v>
      </c>
      <c r="I319" s="7"/>
    </row>
    <row r="320" spans="1:9" x14ac:dyDescent="0.25">
      <c r="A320" s="5">
        <v>319</v>
      </c>
      <c r="B320" s="6">
        <v>44216</v>
      </c>
      <c r="C320" s="7">
        <v>2295</v>
      </c>
      <c r="D320" s="7">
        <f t="shared" si="16"/>
        <v>16616</v>
      </c>
      <c r="E320" s="7">
        <f t="shared" si="18"/>
        <v>74279</v>
      </c>
      <c r="F320" s="7">
        <f>$L$2-SUM(D320,E320)</f>
        <v>9913246</v>
      </c>
      <c r="G320" s="7"/>
      <c r="H320" s="7">
        <f t="shared" si="17"/>
        <v>2.0086430888945732E-2</v>
      </c>
      <c r="I320" s="7"/>
    </row>
    <row r="321" spans="1:9" x14ac:dyDescent="0.25">
      <c r="A321" s="5">
        <v>320</v>
      </c>
      <c r="B321" s="6">
        <v>44217</v>
      </c>
      <c r="C321" s="7">
        <v>2927</v>
      </c>
      <c r="D321" s="7">
        <f t="shared" si="16"/>
        <v>17587</v>
      </c>
      <c r="E321" s="7">
        <f t="shared" si="18"/>
        <v>75017</v>
      </c>
      <c r="F321" s="7">
        <f>$L$2-SUM(D321,E321)</f>
        <v>9911537</v>
      </c>
      <c r="G321" s="7"/>
      <c r="H321" s="7">
        <f t="shared" si="17"/>
        <v>1.6236319767519363E-2</v>
      </c>
      <c r="I321" s="7"/>
    </row>
    <row r="322" spans="1:9" x14ac:dyDescent="0.25">
      <c r="A322" s="5">
        <v>321</v>
      </c>
      <c r="B322" s="6">
        <v>44218</v>
      </c>
      <c r="C322" s="7">
        <v>3195</v>
      </c>
      <c r="D322" s="7">
        <f t="shared" si="16"/>
        <v>18458</v>
      </c>
      <c r="E322" s="7">
        <f t="shared" si="18"/>
        <v>76145</v>
      </c>
      <c r="F322" s="7">
        <f>$L$2-SUM(D322,E322)</f>
        <v>9909538</v>
      </c>
      <c r="G322" s="7"/>
      <c r="H322" s="7">
        <f t="shared" si="17"/>
        <v>1.5706875041040121E-2</v>
      </c>
      <c r="I322" s="7"/>
    </row>
    <row r="323" spans="1:9" x14ac:dyDescent="0.25">
      <c r="A323" s="5">
        <v>322</v>
      </c>
      <c r="B323" s="6">
        <v>44219</v>
      </c>
      <c r="C323" s="7">
        <v>3742</v>
      </c>
      <c r="D323" s="7">
        <f t="shared" si="16"/>
        <v>20151</v>
      </c>
      <c r="E323" s="7">
        <f t="shared" si="18"/>
        <v>76669</v>
      </c>
      <c r="F323" s="7">
        <f>$L$2-SUM(D323,E323)</f>
        <v>9907321</v>
      </c>
      <c r="G323" s="7"/>
      <c r="H323" s="7">
        <f t="shared" si="17"/>
        <v>1.9890698978726733E-2</v>
      </c>
      <c r="I323" s="7"/>
    </row>
    <row r="324" spans="1:9" x14ac:dyDescent="0.25">
      <c r="A324" s="5">
        <v>323</v>
      </c>
      <c r="B324" s="6">
        <v>44220</v>
      </c>
      <c r="C324" s="7">
        <v>1357</v>
      </c>
      <c r="D324" s="7">
        <f t="shared" si="16"/>
        <v>19049</v>
      </c>
      <c r="E324" s="7">
        <f t="shared" si="18"/>
        <v>78118</v>
      </c>
      <c r="F324" s="7">
        <f>$L$2-SUM(D324,E324)</f>
        <v>9906974</v>
      </c>
      <c r="G324" s="7"/>
      <c r="H324" s="7">
        <f t="shared" si="17"/>
        <v>1.2929158452597353E-2</v>
      </c>
      <c r="I324" s="7"/>
    </row>
    <row r="325" spans="1:9" x14ac:dyDescent="0.25">
      <c r="A325" s="5">
        <v>324</v>
      </c>
      <c r="B325" s="6">
        <v>44221</v>
      </c>
      <c r="C325" s="7">
        <v>3379</v>
      </c>
      <c r="D325" s="7">
        <f t="shared" si="16"/>
        <v>19778</v>
      </c>
      <c r="E325" s="7">
        <f t="shared" si="18"/>
        <v>80127</v>
      </c>
      <c r="F325" s="7">
        <f>$L$2-SUM(D325,E325)</f>
        <v>9904236</v>
      </c>
      <c r="G325" s="7"/>
      <c r="H325" s="7">
        <f t="shared" si="17"/>
        <v>7.999800316996767E-3</v>
      </c>
      <c r="I325" s="7"/>
    </row>
    <row r="326" spans="1:9" x14ac:dyDescent="0.25">
      <c r="A326" s="5">
        <v>325</v>
      </c>
      <c r="B326" s="6">
        <v>44222</v>
      </c>
      <c r="C326" s="7">
        <v>3109</v>
      </c>
      <c r="D326" s="7">
        <f t="shared" si="16"/>
        <v>20004</v>
      </c>
      <c r="E326" s="7">
        <f t="shared" si="18"/>
        <v>81815</v>
      </c>
      <c r="F326" s="7">
        <f>$L$2-SUM(D326,E326)</f>
        <v>9902322</v>
      </c>
      <c r="G326" s="7"/>
      <c r="H326" s="7">
        <f t="shared" si="17"/>
        <v>1.4606123571472224E-2</v>
      </c>
      <c r="I326" s="7"/>
    </row>
    <row r="327" spans="1:9" x14ac:dyDescent="0.25">
      <c r="A327" s="5">
        <v>326</v>
      </c>
      <c r="B327" s="6">
        <v>44223</v>
      </c>
      <c r="C327" s="7">
        <v>2593</v>
      </c>
      <c r="D327" s="7">
        <f t="shared" si="16"/>
        <v>20302</v>
      </c>
      <c r="E327" s="7">
        <f t="shared" si="18"/>
        <v>82718</v>
      </c>
      <c r="F327" s="7">
        <f>$L$2-SUM(D327,E327)</f>
        <v>9901121</v>
      </c>
      <c r="G327" s="7"/>
      <c r="H327" s="7">
        <f t="shared" si="17"/>
        <v>1.6828259870886628E-2</v>
      </c>
      <c r="I327" s="7"/>
    </row>
    <row r="328" spans="1:9" x14ac:dyDescent="0.25">
      <c r="A328" s="5">
        <v>327</v>
      </c>
      <c r="B328" s="6">
        <v>44224</v>
      </c>
      <c r="C328" s="7">
        <v>3501</v>
      </c>
      <c r="D328" s="7">
        <f t="shared" si="16"/>
        <v>20876</v>
      </c>
      <c r="E328" s="7">
        <f t="shared" si="18"/>
        <v>84156</v>
      </c>
      <c r="F328" s="7">
        <f>$L$2-SUM(D328,E328)</f>
        <v>9899109</v>
      </c>
      <c r="G328" s="7"/>
      <c r="H328" s="7">
        <f t="shared" si="17"/>
        <v>1.7693331432102288E-2</v>
      </c>
      <c r="I328" s="7"/>
    </row>
    <row r="329" spans="1:9" x14ac:dyDescent="0.25">
      <c r="A329" s="5">
        <v>328</v>
      </c>
      <c r="B329" s="6">
        <v>44225</v>
      </c>
      <c r="C329" s="7">
        <v>3512</v>
      </c>
      <c r="D329" s="7">
        <f t="shared" ref="D329:D392" si="19">SUM(C323:C329)</f>
        <v>21193</v>
      </c>
      <c r="E329" s="7">
        <f t="shared" si="18"/>
        <v>86296</v>
      </c>
      <c r="F329" s="7">
        <f>$L$2-SUM(D329,E329)</f>
        <v>9896652</v>
      </c>
      <c r="G329" s="7"/>
      <c r="H329" s="7">
        <f t="shared" si="17"/>
        <v>1.2225363863910262E-2</v>
      </c>
      <c r="I329" s="7"/>
    </row>
    <row r="330" spans="1:9" x14ac:dyDescent="0.25">
      <c r="A330" s="5">
        <v>329</v>
      </c>
      <c r="B330" s="6">
        <v>44226</v>
      </c>
      <c r="C330" s="7">
        <v>2898</v>
      </c>
      <c r="D330" s="7">
        <f t="shared" si="19"/>
        <v>20349</v>
      </c>
      <c r="E330" s="7">
        <f t="shared" si="18"/>
        <v>88885</v>
      </c>
      <c r="F330" s="7">
        <f>$L$2-SUM(D330,E330)</f>
        <v>9894907</v>
      </c>
      <c r="G330" s="7"/>
      <c r="H330" s="7">
        <f t="shared" si="17"/>
        <v>1.2971817517016369E-2</v>
      </c>
      <c r="I330" s="7"/>
    </row>
    <row r="331" spans="1:9" x14ac:dyDescent="0.25">
      <c r="A331" s="5">
        <v>330</v>
      </c>
      <c r="B331" s="6">
        <v>44227</v>
      </c>
      <c r="C331" s="7">
        <v>2351</v>
      </c>
      <c r="D331" s="7">
        <f t="shared" si="19"/>
        <v>21343</v>
      </c>
      <c r="E331" s="7">
        <f t="shared" si="18"/>
        <v>89415</v>
      </c>
      <c r="F331" s="7">
        <f>$L$2-SUM(D331,E331)</f>
        <v>9893383</v>
      </c>
      <c r="G331" s="7"/>
      <c r="H331" s="7">
        <f t="shared" si="17"/>
        <v>9.2490074372308904E-3</v>
      </c>
      <c r="I331" s="7"/>
    </row>
    <row r="332" spans="1:9" x14ac:dyDescent="0.25">
      <c r="A332" s="5">
        <v>331</v>
      </c>
      <c r="B332" s="6">
        <v>44228</v>
      </c>
      <c r="C332" s="7">
        <v>4274</v>
      </c>
      <c r="D332" s="7">
        <f t="shared" si="19"/>
        <v>22238</v>
      </c>
      <c r="E332" s="7">
        <f t="shared" si="18"/>
        <v>92246</v>
      </c>
      <c r="F332" s="7">
        <f>$L$2-SUM(D332,E332)</f>
        <v>9889657</v>
      </c>
      <c r="G332" s="7"/>
      <c r="H332" s="7">
        <f t="shared" si="17"/>
        <v>5.9406369923899142E-3</v>
      </c>
      <c r="I332" s="7"/>
    </row>
    <row r="333" spans="1:9" x14ac:dyDescent="0.25">
      <c r="A333" s="5">
        <v>332</v>
      </c>
      <c r="B333" s="6">
        <v>44229</v>
      </c>
      <c r="C333" s="7">
        <v>4583</v>
      </c>
      <c r="D333" s="7">
        <f t="shared" si="19"/>
        <v>23712</v>
      </c>
      <c r="E333" s="7">
        <f t="shared" si="18"/>
        <v>94325</v>
      </c>
      <c r="F333" s="7">
        <f>$L$2-SUM(D333,E333)</f>
        <v>9886104</v>
      </c>
      <c r="G333" s="7"/>
      <c r="H333" s="7">
        <f t="shared" si="17"/>
        <v>1.0919692552345614E-2</v>
      </c>
      <c r="I333" s="7"/>
    </row>
    <row r="334" spans="1:9" x14ac:dyDescent="0.25">
      <c r="A334" s="5">
        <v>333</v>
      </c>
      <c r="B334" s="6">
        <v>44230</v>
      </c>
      <c r="C334" s="7">
        <v>3922</v>
      </c>
      <c r="D334" s="7">
        <f t="shared" si="19"/>
        <v>25041</v>
      </c>
      <c r="E334" s="7">
        <f t="shared" si="18"/>
        <v>95834</v>
      </c>
      <c r="F334" s="7">
        <f>$L$2-SUM(D334,E334)</f>
        <v>9883266</v>
      </c>
      <c r="G334" s="7"/>
      <c r="H334" s="7">
        <f t="shared" si="17"/>
        <v>1.1311225661038879E-2</v>
      </c>
      <c r="I334" s="7"/>
    </row>
    <row r="335" spans="1:9" x14ac:dyDescent="0.25">
      <c r="A335" s="5">
        <v>334</v>
      </c>
      <c r="B335" s="6">
        <v>44231</v>
      </c>
      <c r="C335" s="7">
        <v>4735</v>
      </c>
      <c r="D335" s="7">
        <f t="shared" si="19"/>
        <v>26275</v>
      </c>
      <c r="E335" s="7">
        <f t="shared" si="18"/>
        <v>98489</v>
      </c>
      <c r="F335" s="7">
        <f>$L$2-SUM(D335,E335)</f>
        <v>9879377</v>
      </c>
      <c r="G335" s="7"/>
      <c r="H335" s="7">
        <f t="shared" si="17"/>
        <v>8.5897917533937808E-3</v>
      </c>
      <c r="I335" s="7"/>
    </row>
    <row r="336" spans="1:9" x14ac:dyDescent="0.25">
      <c r="A336" s="5">
        <v>335</v>
      </c>
      <c r="B336" s="6">
        <v>44232</v>
      </c>
      <c r="C336" s="7">
        <v>5120</v>
      </c>
      <c r="D336" s="7">
        <f t="shared" si="19"/>
        <v>27883</v>
      </c>
      <c r="E336" s="7">
        <f t="shared" si="18"/>
        <v>101132</v>
      </c>
      <c r="F336" s="7">
        <f>$L$2-SUM(D336,E336)</f>
        <v>9875126</v>
      </c>
      <c r="G336" s="7"/>
      <c r="H336" s="7">
        <f t="shared" si="17"/>
        <v>8.5927302930823082E-3</v>
      </c>
      <c r="I336" s="7"/>
    </row>
    <row r="337" spans="1:9" x14ac:dyDescent="0.25">
      <c r="A337" s="5">
        <v>336</v>
      </c>
      <c r="B337" s="6">
        <v>44233</v>
      </c>
      <c r="C337" s="7">
        <v>4092</v>
      </c>
      <c r="D337" s="7">
        <f t="shared" si="19"/>
        <v>29077</v>
      </c>
      <c r="E337" s="7">
        <f t="shared" si="18"/>
        <v>103136</v>
      </c>
      <c r="F337" s="7">
        <f>$L$2-SUM(D337,E337)</f>
        <v>9871928</v>
      </c>
      <c r="G337" s="7"/>
      <c r="H337" s="7">
        <f t="shared" si="17"/>
        <v>8.6681663046850755E-3</v>
      </c>
      <c r="I337" s="7"/>
    </row>
    <row r="338" spans="1:9" x14ac:dyDescent="0.25">
      <c r="A338" s="5">
        <v>337</v>
      </c>
      <c r="B338" s="6">
        <v>44234</v>
      </c>
      <c r="C338" s="7">
        <v>2744</v>
      </c>
      <c r="D338" s="7">
        <f t="shared" si="19"/>
        <v>29470</v>
      </c>
      <c r="E338" s="7">
        <f t="shared" si="18"/>
        <v>104568</v>
      </c>
      <c r="F338" s="7">
        <f>$L$2-SUM(D338,E338)</f>
        <v>9870103</v>
      </c>
      <c r="G338" s="7"/>
      <c r="H338" s="7">
        <f t="shared" si="17"/>
        <v>8.7885395149567749E-3</v>
      </c>
      <c r="I338" s="7"/>
    </row>
    <row r="339" spans="1:9" x14ac:dyDescent="0.25">
      <c r="A339" s="5">
        <v>338</v>
      </c>
      <c r="B339" s="6">
        <v>44235</v>
      </c>
      <c r="C339" s="7">
        <v>3991</v>
      </c>
      <c r="D339" s="7">
        <f t="shared" si="19"/>
        <v>29187</v>
      </c>
      <c r="E339" s="7">
        <f t="shared" si="18"/>
        <v>108437</v>
      </c>
      <c r="F339" s="7">
        <f>$L$2-SUM(D339,E339)</f>
        <v>9866517</v>
      </c>
      <c r="G339" s="7"/>
      <c r="H339" s="7">
        <f t="shared" si="17"/>
        <v>3.7348875383863443E-3</v>
      </c>
      <c r="I339" s="7"/>
    </row>
    <row r="340" spans="1:9" x14ac:dyDescent="0.25">
      <c r="A340" s="5">
        <v>339</v>
      </c>
      <c r="B340" s="6">
        <v>44236</v>
      </c>
      <c r="C340" s="7">
        <v>4152</v>
      </c>
      <c r="D340" s="7">
        <f t="shared" si="19"/>
        <v>28756</v>
      </c>
      <c r="E340" s="7">
        <f t="shared" si="18"/>
        <v>112225</v>
      </c>
      <c r="F340" s="7">
        <f>$L$2-SUM(D340,E340)</f>
        <v>9863160</v>
      </c>
      <c r="G340" s="7"/>
      <c r="H340" s="7">
        <f t="shared" si="17"/>
        <v>7.083983069725997E-3</v>
      </c>
      <c r="I340" s="7"/>
    </row>
    <row r="341" spans="1:9" x14ac:dyDescent="0.25">
      <c r="A341" s="5">
        <v>340</v>
      </c>
      <c r="B341" s="6">
        <v>44237</v>
      </c>
      <c r="C341" s="7">
        <v>4152</v>
      </c>
      <c r="D341" s="7">
        <f t="shared" si="19"/>
        <v>28986</v>
      </c>
      <c r="E341" s="7">
        <f t="shared" si="18"/>
        <v>115218</v>
      </c>
      <c r="F341" s="7">
        <f>$L$2-SUM(D341,E341)</f>
        <v>9859937</v>
      </c>
      <c r="G341" s="7"/>
      <c r="H341" s="7">
        <f t="shared" si="17"/>
        <v>8.0629762710687572E-3</v>
      </c>
      <c r="I341" s="7"/>
    </row>
    <row r="342" spans="1:9" x14ac:dyDescent="0.25">
      <c r="A342" s="5">
        <v>341</v>
      </c>
      <c r="B342" s="6">
        <v>44238</v>
      </c>
      <c r="C342" s="7">
        <v>4131</v>
      </c>
      <c r="D342" s="7">
        <f t="shared" si="19"/>
        <v>28382</v>
      </c>
      <c r="E342" s="7">
        <f t="shared" si="18"/>
        <v>118945</v>
      </c>
      <c r="F342" s="7">
        <f>$L$2-SUM(D342,E342)</f>
        <v>9856814</v>
      </c>
      <c r="G342" s="7"/>
      <c r="H342" s="7">
        <f t="shared" si="17"/>
        <v>8.4745050233301106E-3</v>
      </c>
      <c r="I342" s="7"/>
    </row>
    <row r="343" spans="1:9" x14ac:dyDescent="0.25">
      <c r="A343" s="5">
        <v>342</v>
      </c>
      <c r="B343" s="6">
        <v>44239</v>
      </c>
      <c r="C343" s="7">
        <v>3686</v>
      </c>
      <c r="D343" s="7">
        <f t="shared" si="19"/>
        <v>26948</v>
      </c>
      <c r="E343" s="7">
        <f t="shared" si="18"/>
        <v>123255</v>
      </c>
      <c r="F343" s="7">
        <f>$L$2-SUM(D343,E343)</f>
        <v>9853938</v>
      </c>
      <c r="G343" s="7"/>
      <c r="H343" s="7">
        <f t="shared" si="17"/>
        <v>6.5717415115005475E-3</v>
      </c>
      <c r="I343" s="7"/>
    </row>
    <row r="344" spans="1:9" x14ac:dyDescent="0.25">
      <c r="A344" s="5">
        <v>343</v>
      </c>
      <c r="B344" s="6">
        <v>44240</v>
      </c>
      <c r="C344" s="7">
        <v>4036</v>
      </c>
      <c r="D344" s="7">
        <f t="shared" si="19"/>
        <v>26892</v>
      </c>
      <c r="E344" s="7">
        <f t="shared" si="18"/>
        <v>126723</v>
      </c>
      <c r="F344" s="7">
        <f>$L$2-SUM(D344,E344)</f>
        <v>9850526</v>
      </c>
      <c r="G344" s="7"/>
      <c r="H344" s="7">
        <f t="shared" si="17"/>
        <v>4.9241258492933402E-3</v>
      </c>
      <c r="I344" s="7"/>
    </row>
    <row r="345" spans="1:9" x14ac:dyDescent="0.25">
      <c r="A345" s="5">
        <v>344</v>
      </c>
      <c r="B345" s="6">
        <v>44241</v>
      </c>
      <c r="C345" s="7">
        <v>1783</v>
      </c>
      <c r="D345" s="7">
        <f t="shared" si="19"/>
        <v>25931</v>
      </c>
      <c r="E345" s="7">
        <f t="shared" si="18"/>
        <v>129065</v>
      </c>
      <c r="F345" s="7">
        <f>$L$2-SUM(D345,E345)</f>
        <v>9849145</v>
      </c>
      <c r="G345" s="7"/>
      <c r="H345" s="7">
        <f t="shared" si="17"/>
        <v>3.1147096424282337E-3</v>
      </c>
      <c r="I345" s="7"/>
    </row>
    <row r="346" spans="1:9" x14ac:dyDescent="0.25">
      <c r="A346" s="5">
        <v>345</v>
      </c>
      <c r="B346" s="6">
        <v>44242</v>
      </c>
      <c r="C346" s="7">
        <v>4103</v>
      </c>
      <c r="D346" s="7">
        <f t="shared" si="19"/>
        <v>26043</v>
      </c>
      <c r="E346" s="7">
        <f t="shared" si="18"/>
        <v>132169</v>
      </c>
      <c r="F346" s="7">
        <f>$L$2-SUM(D346,E346)</f>
        <v>9845929</v>
      </c>
      <c r="G346" s="7"/>
      <c r="H346" s="7">
        <f t="shared" si="17"/>
        <v>6.7111047219847314E-3</v>
      </c>
      <c r="I346" s="7"/>
    </row>
    <row r="347" spans="1:9" x14ac:dyDescent="0.25">
      <c r="A347" s="5">
        <v>346</v>
      </c>
      <c r="B347" s="6">
        <v>44243</v>
      </c>
      <c r="C347" s="7">
        <v>4540</v>
      </c>
      <c r="D347" s="7">
        <f t="shared" si="19"/>
        <v>26431</v>
      </c>
      <c r="E347" s="7">
        <f t="shared" si="18"/>
        <v>135533</v>
      </c>
      <c r="F347" s="7">
        <f>$L$2-SUM(D347,E347)</f>
        <v>9842177</v>
      </c>
      <c r="G347" s="7"/>
      <c r="H347" s="7">
        <f t="shared" si="17"/>
        <v>5.8140821792478587E-3</v>
      </c>
      <c r="I347" s="7"/>
    </row>
    <row r="348" spans="1:9" x14ac:dyDescent="0.25">
      <c r="A348" s="5">
        <v>347</v>
      </c>
      <c r="B348" s="6">
        <v>44244</v>
      </c>
      <c r="C348" s="7">
        <v>5093</v>
      </c>
      <c r="D348" s="7">
        <f t="shared" si="19"/>
        <v>27372</v>
      </c>
      <c r="E348" s="7">
        <f t="shared" si="18"/>
        <v>138966</v>
      </c>
      <c r="F348" s="7">
        <f>$L$2-SUM(D348,E348)</f>
        <v>9837803</v>
      </c>
      <c r="G348" s="7"/>
      <c r="H348" s="7">
        <f t="shared" si="17"/>
        <v>5.1739274354878169E-3</v>
      </c>
      <c r="I348" s="7"/>
    </row>
    <row r="349" spans="1:9" x14ac:dyDescent="0.25">
      <c r="A349" s="5">
        <v>348</v>
      </c>
      <c r="B349" s="6">
        <v>44245</v>
      </c>
      <c r="C349" s="7">
        <v>4003</v>
      </c>
      <c r="D349" s="7">
        <f t="shared" si="19"/>
        <v>27244</v>
      </c>
      <c r="E349" s="7">
        <f t="shared" si="18"/>
        <v>142397</v>
      </c>
      <c r="F349" s="7">
        <f>$L$2-SUM(D349,E349)</f>
        <v>9834500</v>
      </c>
      <c r="G349" s="7"/>
      <c r="H349" s="7">
        <f t="shared" si="17"/>
        <v>4.9158339009951054E-3</v>
      </c>
      <c r="I349" s="7"/>
    </row>
    <row r="350" spans="1:9" x14ac:dyDescent="0.25">
      <c r="A350" s="5">
        <v>349</v>
      </c>
      <c r="B350" s="6">
        <v>44246</v>
      </c>
      <c r="C350" s="7">
        <v>3605</v>
      </c>
      <c r="D350" s="7">
        <f t="shared" si="19"/>
        <v>27163</v>
      </c>
      <c r="E350" s="7">
        <f t="shared" si="18"/>
        <v>145203</v>
      </c>
      <c r="F350" s="7">
        <f>$L$2-SUM(D350,E350)</f>
        <v>9831775</v>
      </c>
      <c r="G350" s="7"/>
      <c r="H350" s="7">
        <f t="shared" si="17"/>
        <v>6.0604808440596954E-3</v>
      </c>
      <c r="I350" s="7"/>
    </row>
    <row r="351" spans="1:9" x14ac:dyDescent="0.25">
      <c r="A351" s="5">
        <v>350</v>
      </c>
      <c r="B351" s="6">
        <v>44247</v>
      </c>
      <c r="C351" s="7">
        <v>3546</v>
      </c>
      <c r="D351" s="7">
        <f t="shared" si="19"/>
        <v>26673</v>
      </c>
      <c r="E351" s="7">
        <f t="shared" si="18"/>
        <v>148662</v>
      </c>
      <c r="F351" s="7">
        <f>$L$2-SUM(D351,E351)</f>
        <v>9828806</v>
      </c>
      <c r="G351" s="7"/>
      <c r="H351" s="7">
        <f t="shared" si="17"/>
        <v>3.8812877534272375E-3</v>
      </c>
      <c r="I351" s="7"/>
    </row>
    <row r="352" spans="1:9" x14ac:dyDescent="0.25">
      <c r="A352" s="5">
        <v>351</v>
      </c>
      <c r="B352" s="6">
        <v>44248</v>
      </c>
      <c r="C352" s="7">
        <v>1836</v>
      </c>
      <c r="D352" s="7">
        <f t="shared" si="19"/>
        <v>26726</v>
      </c>
      <c r="E352" s="7">
        <f t="shared" si="18"/>
        <v>150028</v>
      </c>
      <c r="F352" s="7">
        <f>$L$2-SUM(D352,E352)</f>
        <v>9827387</v>
      </c>
      <c r="G352" s="7"/>
      <c r="H352" s="7">
        <f t="shared" si="17"/>
        <v>2.7794811635161436E-3</v>
      </c>
      <c r="I352" s="7"/>
    </row>
    <row r="353" spans="1:9" x14ac:dyDescent="0.25">
      <c r="A353" s="5">
        <v>352</v>
      </c>
      <c r="B353" s="6">
        <v>44249</v>
      </c>
      <c r="C353" s="7">
        <v>4141</v>
      </c>
      <c r="D353" s="7">
        <f t="shared" si="19"/>
        <v>26764</v>
      </c>
      <c r="E353" s="7">
        <f t="shared" si="18"/>
        <v>153521</v>
      </c>
      <c r="F353" s="7">
        <f>$L$2-SUM(D353,E353)</f>
        <v>9823856</v>
      </c>
      <c r="G353" s="7"/>
      <c r="H353" s="7">
        <f t="shared" si="17"/>
        <v>3.9733977761999984E-3</v>
      </c>
      <c r="I353" s="7"/>
    </row>
    <row r="354" spans="1:9" x14ac:dyDescent="0.25">
      <c r="A354" s="5">
        <v>353</v>
      </c>
      <c r="B354" s="6">
        <v>44250</v>
      </c>
      <c r="C354" s="7">
        <v>3801</v>
      </c>
      <c r="D354" s="7">
        <f t="shared" si="19"/>
        <v>26025</v>
      </c>
      <c r="E354" s="7">
        <f t="shared" si="18"/>
        <v>157422</v>
      </c>
      <c r="F354" s="7">
        <f>$L$2-SUM(D354,E354)</f>
        <v>9820694</v>
      </c>
      <c r="G354" s="7"/>
      <c r="H354" s="7">
        <f t="shared" si="17"/>
        <v>4.0591531043945575E-3</v>
      </c>
      <c r="I354" s="7"/>
    </row>
    <row r="355" spans="1:9" x14ac:dyDescent="0.25">
      <c r="A355" s="5">
        <v>354</v>
      </c>
      <c r="B355" s="6">
        <v>44251</v>
      </c>
      <c r="C355" s="7">
        <v>3775</v>
      </c>
      <c r="D355" s="7">
        <f t="shared" si="19"/>
        <v>24707</v>
      </c>
      <c r="E355" s="7">
        <f t="shared" si="18"/>
        <v>161884</v>
      </c>
      <c r="F355" s="7">
        <f>$L$2-SUM(D355,E355)</f>
        <v>9817550</v>
      </c>
      <c r="G355" s="7"/>
      <c r="H355" s="7">
        <f t="shared" ref="H355:H418" si="20">C258/E355</f>
        <v>3.8978527834745867E-3</v>
      </c>
      <c r="I355" s="7"/>
    </row>
    <row r="356" spans="1:9" x14ac:dyDescent="0.25">
      <c r="A356" s="5">
        <v>355</v>
      </c>
      <c r="B356" s="6">
        <v>44252</v>
      </c>
      <c r="C356" s="7">
        <v>4156</v>
      </c>
      <c r="D356" s="7">
        <f t="shared" si="19"/>
        <v>24860</v>
      </c>
      <c r="E356" s="7">
        <f t="shared" ref="E356:E419" si="21">SUM(C260:C349)</f>
        <v>165280</v>
      </c>
      <c r="F356" s="7">
        <f>$L$2-SUM(D356,E356)</f>
        <v>9814001</v>
      </c>
      <c r="G356" s="7"/>
      <c r="H356" s="7">
        <f t="shared" si="20"/>
        <v>3.6725556631171346E-3</v>
      </c>
      <c r="I356" s="7"/>
    </row>
    <row r="357" spans="1:9" x14ac:dyDescent="0.25">
      <c r="A357" s="5">
        <v>356</v>
      </c>
      <c r="B357" s="6">
        <v>44253</v>
      </c>
      <c r="C357" s="7">
        <v>4303</v>
      </c>
      <c r="D357" s="7">
        <f t="shared" si="19"/>
        <v>25558</v>
      </c>
      <c r="E357" s="7">
        <f t="shared" si="21"/>
        <v>168159</v>
      </c>
      <c r="F357" s="7">
        <f>$L$2-SUM(D357,E357)</f>
        <v>9810424</v>
      </c>
      <c r="G357" s="7"/>
      <c r="H357" s="7">
        <f t="shared" si="20"/>
        <v>4.3173425151196189E-3</v>
      </c>
      <c r="I357" s="7"/>
    </row>
    <row r="358" spans="1:9" x14ac:dyDescent="0.25">
      <c r="A358" s="5">
        <v>357</v>
      </c>
      <c r="B358" s="6">
        <v>44254</v>
      </c>
      <c r="C358" s="7">
        <v>3176</v>
      </c>
      <c r="D358" s="7">
        <f t="shared" si="19"/>
        <v>25188</v>
      </c>
      <c r="E358" s="7">
        <f t="shared" si="21"/>
        <v>171216</v>
      </c>
      <c r="F358" s="7">
        <f>$L$2-SUM(D358,E358)</f>
        <v>9807737</v>
      </c>
      <c r="G358" s="7"/>
      <c r="H358" s="7">
        <f t="shared" si="20"/>
        <v>2.8560414914493974E-3</v>
      </c>
      <c r="I358" s="7"/>
    </row>
    <row r="359" spans="1:9" x14ac:dyDescent="0.25">
      <c r="A359" s="5">
        <v>358</v>
      </c>
      <c r="B359" s="6">
        <v>44255</v>
      </c>
      <c r="C359" s="7">
        <v>1620</v>
      </c>
      <c r="D359" s="7">
        <f t="shared" si="19"/>
        <v>24972</v>
      </c>
      <c r="E359" s="7">
        <f t="shared" si="21"/>
        <v>172665</v>
      </c>
      <c r="F359" s="7">
        <f>$L$2-SUM(D359,E359)</f>
        <v>9806504</v>
      </c>
      <c r="G359" s="7"/>
      <c r="H359" s="7">
        <f t="shared" si="20"/>
        <v>2.2413343758144384E-3</v>
      </c>
      <c r="I359" s="7"/>
    </row>
    <row r="360" spans="1:9" x14ac:dyDescent="0.25">
      <c r="A360" s="5">
        <v>359</v>
      </c>
      <c r="B360" s="6">
        <v>44256</v>
      </c>
      <c r="C360" s="7">
        <v>3847</v>
      </c>
      <c r="D360" s="7">
        <f t="shared" si="19"/>
        <v>24678</v>
      </c>
      <c r="E360" s="7">
        <f t="shared" si="21"/>
        <v>176297</v>
      </c>
      <c r="F360" s="7">
        <f>$L$2-SUM(D360,E360)</f>
        <v>9803166</v>
      </c>
      <c r="G360" s="7"/>
      <c r="H360" s="7">
        <f t="shared" si="20"/>
        <v>2.8871733495181425E-3</v>
      </c>
      <c r="I360" s="7"/>
    </row>
    <row r="361" spans="1:9" x14ac:dyDescent="0.25">
      <c r="A361" s="5">
        <v>360</v>
      </c>
      <c r="B361" s="6">
        <v>44257</v>
      </c>
      <c r="C361" s="7">
        <v>3811</v>
      </c>
      <c r="D361" s="7">
        <f t="shared" si="19"/>
        <v>24688</v>
      </c>
      <c r="E361" s="7">
        <f t="shared" si="21"/>
        <v>179505</v>
      </c>
      <c r="F361" s="7">
        <f>$L$2-SUM(D361,E361)</f>
        <v>9799948</v>
      </c>
      <c r="G361" s="7"/>
      <c r="H361" s="7">
        <f t="shared" si="20"/>
        <v>3.3035291496058606E-3</v>
      </c>
      <c r="I361" s="7"/>
    </row>
    <row r="362" spans="1:9" x14ac:dyDescent="0.25">
      <c r="A362" s="5">
        <v>361</v>
      </c>
      <c r="B362" s="6">
        <v>44258</v>
      </c>
      <c r="C362" s="7">
        <v>3601</v>
      </c>
      <c r="D362" s="7">
        <f t="shared" si="19"/>
        <v>24514</v>
      </c>
      <c r="E362" s="7">
        <f t="shared" si="21"/>
        <v>182691</v>
      </c>
      <c r="F362" s="7">
        <f>$L$2-SUM(D362,E362)</f>
        <v>9796936</v>
      </c>
      <c r="G362" s="7"/>
      <c r="H362" s="7">
        <f t="shared" si="20"/>
        <v>3.2240230772178158E-3</v>
      </c>
      <c r="I362" s="7"/>
    </row>
    <row r="363" spans="1:9" x14ac:dyDescent="0.25">
      <c r="A363" s="5">
        <v>362</v>
      </c>
      <c r="B363" s="6">
        <v>44259</v>
      </c>
      <c r="C363" s="7">
        <v>3497</v>
      </c>
      <c r="D363" s="7">
        <f t="shared" si="19"/>
        <v>23855</v>
      </c>
      <c r="E363" s="7">
        <f t="shared" si="21"/>
        <v>186330</v>
      </c>
      <c r="F363" s="7">
        <f>$L$2-SUM(D363,E363)</f>
        <v>9793956</v>
      </c>
      <c r="G363" s="7"/>
      <c r="H363" s="7">
        <f t="shared" si="20"/>
        <v>2.7746471314334781E-3</v>
      </c>
      <c r="I363" s="7"/>
    </row>
    <row r="364" spans="1:9" x14ac:dyDescent="0.25">
      <c r="A364" s="5">
        <v>363</v>
      </c>
      <c r="B364" s="6">
        <v>44260</v>
      </c>
      <c r="C364" s="7">
        <v>3851</v>
      </c>
      <c r="D364" s="7">
        <f t="shared" si="19"/>
        <v>23403</v>
      </c>
      <c r="E364" s="7">
        <f t="shared" si="21"/>
        <v>189923</v>
      </c>
      <c r="F364" s="7">
        <f>$L$2-SUM(D364,E364)</f>
        <v>9790815</v>
      </c>
      <c r="G364" s="7"/>
      <c r="H364" s="7">
        <f t="shared" si="20"/>
        <v>3.7383571236764375E-3</v>
      </c>
      <c r="I364" s="7"/>
    </row>
    <row r="365" spans="1:9" x14ac:dyDescent="0.25">
      <c r="A365" s="5">
        <v>364</v>
      </c>
      <c r="B365" s="6">
        <v>44261</v>
      </c>
      <c r="C365" s="7">
        <v>3632</v>
      </c>
      <c r="D365" s="7">
        <f t="shared" si="19"/>
        <v>23859</v>
      </c>
      <c r="E365" s="7">
        <f t="shared" si="21"/>
        <v>192696</v>
      </c>
      <c r="F365" s="7">
        <f>$L$2-SUM(D365,E365)</f>
        <v>9787586</v>
      </c>
      <c r="G365" s="7"/>
      <c r="H365" s="7">
        <f t="shared" si="20"/>
        <v>2.0913770913770914E-3</v>
      </c>
      <c r="I365" s="7"/>
    </row>
    <row r="366" spans="1:9" x14ac:dyDescent="0.25">
      <c r="A366" s="5">
        <v>365</v>
      </c>
      <c r="B366" s="6">
        <v>44262</v>
      </c>
      <c r="C366" s="7">
        <v>1547</v>
      </c>
      <c r="D366" s="7">
        <f t="shared" si="19"/>
        <v>23786</v>
      </c>
      <c r="E366" s="7">
        <f t="shared" si="21"/>
        <v>193854</v>
      </c>
      <c r="F366" s="7">
        <f>$L$2-SUM(D366,E366)</f>
        <v>9786501</v>
      </c>
      <c r="G366" s="7"/>
      <c r="H366" s="7">
        <f t="shared" si="20"/>
        <v>2.3832368689838744E-3</v>
      </c>
      <c r="I366" s="7"/>
    </row>
    <row r="367" spans="1:9" x14ac:dyDescent="0.25">
      <c r="A367" s="5">
        <v>366</v>
      </c>
      <c r="B367" s="6">
        <v>44263</v>
      </c>
      <c r="C367" s="7">
        <v>4011</v>
      </c>
      <c r="D367" s="7">
        <f t="shared" si="19"/>
        <v>23950</v>
      </c>
      <c r="E367" s="7">
        <f t="shared" si="21"/>
        <v>197012</v>
      </c>
      <c r="F367" s="7">
        <f>$L$2-SUM(D367,E367)</f>
        <v>9783179</v>
      </c>
      <c r="G367" s="7"/>
      <c r="H367" s="7">
        <f t="shared" si="20"/>
        <v>3.4972488985442513E-3</v>
      </c>
      <c r="I367" s="7"/>
    </row>
    <row r="368" spans="1:9" x14ac:dyDescent="0.25">
      <c r="A368" s="5">
        <v>367</v>
      </c>
      <c r="B368" s="6">
        <v>44264</v>
      </c>
      <c r="C368" s="7">
        <v>3674</v>
      </c>
      <c r="D368" s="7">
        <f t="shared" si="19"/>
        <v>23813</v>
      </c>
      <c r="E368" s="7">
        <f t="shared" si="21"/>
        <v>200224</v>
      </c>
      <c r="F368" s="7">
        <f>$L$2-SUM(D368,E368)</f>
        <v>9780104</v>
      </c>
      <c r="G368" s="7"/>
      <c r="H368" s="7">
        <f t="shared" si="20"/>
        <v>2.9916493527249481E-3</v>
      </c>
      <c r="I368" s="7"/>
    </row>
    <row r="369" spans="1:9" x14ac:dyDescent="0.25">
      <c r="A369" s="5">
        <v>368</v>
      </c>
      <c r="B369" s="6">
        <v>44265</v>
      </c>
      <c r="C369" s="7">
        <v>3669</v>
      </c>
      <c r="D369" s="7">
        <f t="shared" si="19"/>
        <v>23881</v>
      </c>
      <c r="E369" s="7">
        <f t="shared" si="21"/>
        <v>203274</v>
      </c>
      <c r="F369" s="7">
        <f>$L$2-SUM(D369,E369)</f>
        <v>9776986</v>
      </c>
      <c r="G369" s="7"/>
      <c r="H369" s="7">
        <f t="shared" si="20"/>
        <v>2.7106270354300107E-3</v>
      </c>
      <c r="I369" s="7"/>
    </row>
    <row r="370" spans="1:9" x14ac:dyDescent="0.25">
      <c r="A370" s="5">
        <v>369</v>
      </c>
      <c r="B370" s="6">
        <v>44266</v>
      </c>
      <c r="C370" s="7">
        <v>4087</v>
      </c>
      <c r="D370" s="7">
        <f t="shared" si="19"/>
        <v>24471</v>
      </c>
      <c r="E370" s="7">
        <f t="shared" si="21"/>
        <v>206103</v>
      </c>
      <c r="F370" s="7">
        <f>$L$2-SUM(D370,E370)</f>
        <v>9773567</v>
      </c>
      <c r="G370" s="7"/>
      <c r="H370" s="7">
        <f t="shared" si="20"/>
        <v>3.2410978976531151E-3</v>
      </c>
      <c r="I370" s="7"/>
    </row>
    <row r="371" spans="1:9" x14ac:dyDescent="0.25">
      <c r="A371" s="5">
        <v>370</v>
      </c>
      <c r="B371" s="6">
        <v>44267</v>
      </c>
      <c r="C371" s="7">
        <v>3455</v>
      </c>
      <c r="D371" s="7">
        <f t="shared" si="19"/>
        <v>24075</v>
      </c>
      <c r="E371" s="7">
        <f t="shared" si="21"/>
        <v>209413</v>
      </c>
      <c r="F371" s="7">
        <f>$L$2-SUM(D371,E371)</f>
        <v>9770653</v>
      </c>
      <c r="G371" s="7"/>
      <c r="H371" s="7">
        <f t="shared" si="20"/>
        <v>2.5834117270656549E-3</v>
      </c>
      <c r="I371" s="7"/>
    </row>
    <row r="372" spans="1:9" x14ac:dyDescent="0.25">
      <c r="A372" s="5">
        <v>371</v>
      </c>
      <c r="B372" s="6">
        <v>44268</v>
      </c>
      <c r="C372" s="7">
        <v>2599</v>
      </c>
      <c r="D372" s="7">
        <f t="shared" si="19"/>
        <v>23042</v>
      </c>
      <c r="E372" s="7">
        <f t="shared" si="21"/>
        <v>212622</v>
      </c>
      <c r="F372" s="7">
        <f>$L$2-SUM(D372,E372)</f>
        <v>9768477</v>
      </c>
      <c r="G372" s="7"/>
      <c r="H372" s="7">
        <f t="shared" si="20"/>
        <v>1.9894460592036574E-3</v>
      </c>
      <c r="I372" s="7"/>
    </row>
    <row r="373" spans="1:9" x14ac:dyDescent="0.25">
      <c r="A373" s="5">
        <v>372</v>
      </c>
      <c r="B373" s="6">
        <v>44269</v>
      </c>
      <c r="C373" s="7">
        <v>2283</v>
      </c>
      <c r="D373" s="7">
        <f t="shared" si="19"/>
        <v>23778</v>
      </c>
      <c r="E373" s="7">
        <f t="shared" si="21"/>
        <v>213505</v>
      </c>
      <c r="F373" s="7">
        <f>$L$2-SUM(D373,E373)</f>
        <v>9766858</v>
      </c>
      <c r="G373" s="7"/>
      <c r="H373" s="7">
        <f t="shared" si="20"/>
        <v>3.1099974239479169E-3</v>
      </c>
      <c r="I373" s="7"/>
    </row>
    <row r="374" spans="1:9" x14ac:dyDescent="0.25">
      <c r="A374" s="5">
        <v>373</v>
      </c>
      <c r="B374" s="6">
        <v>44270</v>
      </c>
      <c r="C374" s="7">
        <v>5076</v>
      </c>
      <c r="D374" s="7">
        <f t="shared" si="19"/>
        <v>24843</v>
      </c>
      <c r="E374" s="7">
        <f t="shared" si="21"/>
        <v>217188</v>
      </c>
      <c r="F374" s="7">
        <f>$L$2-SUM(D374,E374)</f>
        <v>9762110</v>
      </c>
      <c r="G374" s="7"/>
      <c r="H374" s="7">
        <f t="shared" si="20"/>
        <v>1.510212350590272E-3</v>
      </c>
      <c r="I374" s="7"/>
    </row>
    <row r="375" spans="1:9" x14ac:dyDescent="0.25">
      <c r="A375" s="5">
        <v>374</v>
      </c>
      <c r="B375" s="6">
        <v>44271</v>
      </c>
      <c r="C375" s="7">
        <v>3862</v>
      </c>
      <c r="D375" s="7">
        <f t="shared" si="19"/>
        <v>25031</v>
      </c>
      <c r="E375" s="7">
        <f t="shared" si="21"/>
        <v>220229</v>
      </c>
      <c r="F375" s="7">
        <f>$L$2-SUM(D375,E375)</f>
        <v>9758881</v>
      </c>
      <c r="G375" s="7"/>
      <c r="H375" s="7">
        <f t="shared" si="20"/>
        <v>2.8742808621934441E-3</v>
      </c>
      <c r="I375" s="7"/>
    </row>
    <row r="376" spans="1:9" x14ac:dyDescent="0.25">
      <c r="A376" s="5">
        <v>375</v>
      </c>
      <c r="B376" s="6">
        <v>44272</v>
      </c>
      <c r="C376" s="7">
        <v>3954</v>
      </c>
      <c r="D376" s="7">
        <f t="shared" si="19"/>
        <v>25316</v>
      </c>
      <c r="E376" s="7">
        <f t="shared" si="21"/>
        <v>223390</v>
      </c>
      <c r="F376" s="7">
        <f>$L$2-SUM(D376,E376)</f>
        <v>9755435</v>
      </c>
      <c r="G376" s="7"/>
      <c r="H376" s="7">
        <f t="shared" si="20"/>
        <v>2.2740498679439543E-3</v>
      </c>
      <c r="I376" s="7"/>
    </row>
    <row r="377" spans="1:9" x14ac:dyDescent="0.25">
      <c r="A377" s="5">
        <v>376</v>
      </c>
      <c r="B377" s="6">
        <v>44273</v>
      </c>
      <c r="C377" s="7">
        <v>3706</v>
      </c>
      <c r="D377" s="7">
        <f t="shared" si="19"/>
        <v>24935</v>
      </c>
      <c r="E377" s="7">
        <f t="shared" si="21"/>
        <v>226816</v>
      </c>
      <c r="F377" s="7">
        <f>$L$2-SUM(D377,E377)</f>
        <v>9752390</v>
      </c>
      <c r="G377" s="7"/>
      <c r="H377" s="7">
        <f t="shared" si="20"/>
        <v>2.9142564898419865E-3</v>
      </c>
      <c r="I377" s="7"/>
    </row>
    <row r="378" spans="1:9" x14ac:dyDescent="0.25">
      <c r="A378" s="5">
        <v>377</v>
      </c>
      <c r="B378" s="6">
        <v>44274</v>
      </c>
      <c r="C378" s="7">
        <v>4277</v>
      </c>
      <c r="D378" s="7">
        <f t="shared" si="19"/>
        <v>25757</v>
      </c>
      <c r="E378" s="7">
        <f t="shared" si="21"/>
        <v>229594</v>
      </c>
      <c r="F378" s="7">
        <f>$L$2-SUM(D378,E378)</f>
        <v>9748790</v>
      </c>
      <c r="G378" s="7"/>
      <c r="H378" s="7">
        <f t="shared" si="20"/>
        <v>2.9486833279615322E-3</v>
      </c>
      <c r="I378" s="7"/>
    </row>
    <row r="379" spans="1:9" x14ac:dyDescent="0.25">
      <c r="A379" s="5">
        <v>378</v>
      </c>
      <c r="B379" s="6">
        <v>44275</v>
      </c>
      <c r="C379" s="7">
        <v>3753</v>
      </c>
      <c r="D379" s="7">
        <f t="shared" si="19"/>
        <v>26911</v>
      </c>
      <c r="E379" s="7">
        <f t="shared" si="21"/>
        <v>231750</v>
      </c>
      <c r="F379" s="7">
        <f>$L$2-SUM(D379,E379)</f>
        <v>9745480</v>
      </c>
      <c r="G379" s="7"/>
      <c r="H379" s="7">
        <f t="shared" si="20"/>
        <v>1.9115426105717368E-3</v>
      </c>
      <c r="I379" s="7"/>
    </row>
    <row r="380" spans="1:9" x14ac:dyDescent="0.25">
      <c r="A380" s="5">
        <v>379</v>
      </c>
      <c r="B380" s="6">
        <v>44276</v>
      </c>
      <c r="C380" s="7">
        <v>2795</v>
      </c>
      <c r="D380" s="7">
        <f t="shared" si="19"/>
        <v>27423</v>
      </c>
      <c r="E380" s="7">
        <f t="shared" si="21"/>
        <v>233483</v>
      </c>
      <c r="F380" s="7">
        <f>$L$2-SUM(D380,E380)</f>
        <v>9743235</v>
      </c>
      <c r="G380" s="7"/>
      <c r="H380" s="7">
        <f t="shared" si="20"/>
        <v>2.3556318875464165E-3</v>
      </c>
      <c r="I380" s="7"/>
    </row>
    <row r="381" spans="1:9" x14ac:dyDescent="0.25">
      <c r="A381" s="5">
        <v>380</v>
      </c>
      <c r="B381" s="6">
        <v>44277</v>
      </c>
      <c r="C381" s="7">
        <v>5903</v>
      </c>
      <c r="D381" s="7">
        <f t="shared" si="19"/>
        <v>28250</v>
      </c>
      <c r="E381" s="7">
        <f t="shared" si="21"/>
        <v>237986</v>
      </c>
      <c r="F381" s="7">
        <f>$L$2-SUM(D381,E381)</f>
        <v>9737905</v>
      </c>
      <c r="G381" s="7"/>
      <c r="H381" s="7">
        <f t="shared" si="20"/>
        <v>2.407704654895666E-3</v>
      </c>
      <c r="I381" s="7"/>
    </row>
    <row r="382" spans="1:9" x14ac:dyDescent="0.25">
      <c r="A382" s="5">
        <v>381</v>
      </c>
      <c r="B382" s="6">
        <v>44278</v>
      </c>
      <c r="C382" s="7">
        <v>4736</v>
      </c>
      <c r="D382" s="7">
        <f t="shared" si="19"/>
        <v>29124</v>
      </c>
      <c r="E382" s="7">
        <f t="shared" si="21"/>
        <v>241181</v>
      </c>
      <c r="F382" s="7">
        <f>$L$2-SUM(D382,E382)</f>
        <v>9733836</v>
      </c>
      <c r="G382" s="7"/>
      <c r="H382" s="7">
        <f t="shared" si="20"/>
        <v>2.7655578175726945E-3</v>
      </c>
      <c r="I382" s="7"/>
    </row>
    <row r="383" spans="1:9" x14ac:dyDescent="0.25">
      <c r="A383" s="5">
        <v>382</v>
      </c>
      <c r="B383" s="6">
        <v>44279</v>
      </c>
      <c r="C383" s="7">
        <v>4683</v>
      </c>
      <c r="D383" s="7">
        <f t="shared" si="19"/>
        <v>29853</v>
      </c>
      <c r="E383" s="7">
        <f t="shared" si="21"/>
        <v>244283</v>
      </c>
      <c r="F383" s="7">
        <f>$L$2-SUM(D383,E383)</f>
        <v>9730005</v>
      </c>
      <c r="G383" s="7"/>
      <c r="H383" s="7">
        <f t="shared" si="20"/>
        <v>3.4877580511128484E-3</v>
      </c>
      <c r="I383" s="7"/>
    </row>
    <row r="384" spans="1:9" x14ac:dyDescent="0.25">
      <c r="A384" s="5">
        <v>383</v>
      </c>
      <c r="B384" s="6">
        <v>44280</v>
      </c>
      <c r="C384" s="7">
        <v>4079</v>
      </c>
      <c r="D384" s="7">
        <f t="shared" si="19"/>
        <v>30226</v>
      </c>
      <c r="E384" s="7">
        <f t="shared" si="21"/>
        <v>247346</v>
      </c>
      <c r="F384" s="7">
        <f>$L$2-SUM(D384,E384)</f>
        <v>9726569</v>
      </c>
      <c r="G384" s="7"/>
      <c r="H384" s="7">
        <f t="shared" si="20"/>
        <v>2.5995973252043694E-3</v>
      </c>
      <c r="I384" s="7"/>
    </row>
    <row r="385" spans="1:9" x14ac:dyDescent="0.25">
      <c r="A385" s="5">
        <v>384</v>
      </c>
      <c r="B385" s="6">
        <v>44281</v>
      </c>
      <c r="C385" s="7">
        <v>3825</v>
      </c>
      <c r="D385" s="7">
        <f t="shared" si="19"/>
        <v>29774</v>
      </c>
      <c r="E385" s="7">
        <f t="shared" si="21"/>
        <v>251074</v>
      </c>
      <c r="F385" s="7">
        <f>$L$2-SUM(D385,E385)</f>
        <v>9723293</v>
      </c>
      <c r="G385" s="7"/>
      <c r="H385" s="7">
        <f t="shared" si="20"/>
        <v>2.1866063391669387E-3</v>
      </c>
      <c r="I385" s="7"/>
    </row>
    <row r="386" spans="1:9" x14ac:dyDescent="0.25">
      <c r="A386" s="5">
        <v>385</v>
      </c>
      <c r="B386" s="6">
        <v>44282</v>
      </c>
      <c r="C386" s="7">
        <v>3950</v>
      </c>
      <c r="D386" s="7">
        <f t="shared" si="19"/>
        <v>29971</v>
      </c>
      <c r="E386" s="7">
        <f t="shared" si="21"/>
        <v>254373</v>
      </c>
      <c r="F386" s="7">
        <f>$L$2-SUM(D386,E386)</f>
        <v>9719797</v>
      </c>
      <c r="G386" s="7"/>
      <c r="H386" s="7">
        <f t="shared" si="20"/>
        <v>1.784780617439744E-3</v>
      </c>
      <c r="I386" s="7"/>
    </row>
    <row r="387" spans="1:9" x14ac:dyDescent="0.25">
      <c r="A387" s="5">
        <v>386</v>
      </c>
      <c r="B387" s="6">
        <v>44283</v>
      </c>
      <c r="C387" s="7">
        <v>1553</v>
      </c>
      <c r="D387" s="7">
        <f t="shared" si="19"/>
        <v>28729</v>
      </c>
      <c r="E387" s="7">
        <f t="shared" si="21"/>
        <v>256438</v>
      </c>
      <c r="F387" s="7">
        <f>$L$2-SUM(D387,E387)</f>
        <v>9718974</v>
      </c>
      <c r="G387" s="7"/>
      <c r="H387" s="7">
        <f t="shared" si="20"/>
        <v>2.8466919879269062E-3</v>
      </c>
      <c r="I387" s="7"/>
    </row>
    <row r="388" spans="1:9" x14ac:dyDescent="0.25">
      <c r="A388" s="5">
        <v>387</v>
      </c>
      <c r="B388" s="6">
        <v>44284</v>
      </c>
      <c r="C388" s="7">
        <v>4388</v>
      </c>
      <c r="D388" s="7">
        <f t="shared" si="19"/>
        <v>27214</v>
      </c>
      <c r="E388" s="7">
        <f t="shared" si="21"/>
        <v>261638</v>
      </c>
      <c r="F388" s="7">
        <f>$L$2-SUM(D388,E388)</f>
        <v>9715289</v>
      </c>
      <c r="G388" s="7"/>
      <c r="H388" s="7">
        <f t="shared" si="20"/>
        <v>2.6869185668748422E-3</v>
      </c>
      <c r="I388" s="7"/>
    </row>
    <row r="389" spans="1:9" x14ac:dyDescent="0.25">
      <c r="A389" s="5">
        <v>388</v>
      </c>
      <c r="B389" s="6">
        <v>44285</v>
      </c>
      <c r="C389" s="7">
        <v>5071</v>
      </c>
      <c r="D389" s="7">
        <f t="shared" si="19"/>
        <v>27549</v>
      </c>
      <c r="E389" s="7">
        <f t="shared" si="21"/>
        <v>265692</v>
      </c>
      <c r="F389" s="7">
        <f>$L$2-SUM(D389,E389)</f>
        <v>9710900</v>
      </c>
      <c r="G389" s="7"/>
      <c r="H389" s="7">
        <f t="shared" si="20"/>
        <v>2.5668819535401895E-3</v>
      </c>
      <c r="I389" s="7"/>
    </row>
    <row r="390" spans="1:9" x14ac:dyDescent="0.25">
      <c r="A390" s="5">
        <v>389</v>
      </c>
      <c r="B390" s="6">
        <v>44286</v>
      </c>
      <c r="C390" s="7">
        <v>4223</v>
      </c>
      <c r="D390" s="7">
        <f t="shared" si="19"/>
        <v>27089</v>
      </c>
      <c r="E390" s="7">
        <f t="shared" si="21"/>
        <v>269813</v>
      </c>
      <c r="F390" s="7">
        <f>$L$2-SUM(D390,E390)</f>
        <v>9707239</v>
      </c>
      <c r="G390" s="7"/>
      <c r="H390" s="7">
        <f t="shared" si="20"/>
        <v>2.0829240992835778E-3</v>
      </c>
      <c r="I390" s="7"/>
    </row>
    <row r="391" spans="1:9" x14ac:dyDescent="0.25">
      <c r="A391" s="5">
        <v>390</v>
      </c>
      <c r="B391" s="6">
        <v>44287</v>
      </c>
      <c r="C391" s="7">
        <v>2857</v>
      </c>
      <c r="D391" s="7">
        <f t="shared" si="19"/>
        <v>25867</v>
      </c>
      <c r="E391" s="7">
        <f t="shared" si="21"/>
        <v>273436</v>
      </c>
      <c r="F391" s="7">
        <f>$L$2-SUM(D391,E391)</f>
        <v>9704838</v>
      </c>
      <c r="G391" s="7"/>
      <c r="H391" s="7">
        <f t="shared" si="20"/>
        <v>1.6676662911979403E-3</v>
      </c>
      <c r="I391" s="7"/>
    </row>
    <row r="392" spans="1:9" x14ac:dyDescent="0.25">
      <c r="A392" s="5">
        <v>391</v>
      </c>
      <c r="B392" s="6">
        <v>44288</v>
      </c>
      <c r="C392" s="7">
        <v>1654</v>
      </c>
      <c r="D392" s="7">
        <f t="shared" si="19"/>
        <v>23696</v>
      </c>
      <c r="E392" s="7">
        <f t="shared" si="21"/>
        <v>276584</v>
      </c>
      <c r="F392" s="7">
        <f>$L$2-SUM(D392,E392)</f>
        <v>9703861</v>
      </c>
      <c r="G392" s="7"/>
      <c r="H392" s="7">
        <f t="shared" si="20"/>
        <v>2.4477193185433719E-3</v>
      </c>
      <c r="I392" s="7"/>
    </row>
    <row r="393" spans="1:9" x14ac:dyDescent="0.25">
      <c r="A393" s="5">
        <v>392</v>
      </c>
      <c r="B393" s="6">
        <v>44289</v>
      </c>
      <c r="C393" s="7">
        <v>3051</v>
      </c>
      <c r="D393" s="7">
        <f t="shared" ref="D393:D456" si="22">SUM(C387:C393)</f>
        <v>22797</v>
      </c>
      <c r="E393" s="7">
        <f t="shared" si="21"/>
        <v>279938</v>
      </c>
      <c r="F393" s="7">
        <f>$L$2-SUM(D393,E393)</f>
        <v>9701406</v>
      </c>
      <c r="G393" s="7"/>
      <c r="H393" s="7">
        <f t="shared" si="20"/>
        <v>2.1290428594903156E-3</v>
      </c>
      <c r="I393" s="7"/>
    </row>
    <row r="394" spans="1:9" x14ac:dyDescent="0.25">
      <c r="A394" s="5">
        <v>393</v>
      </c>
      <c r="B394" s="6">
        <v>44290</v>
      </c>
      <c r="C394" s="7">
        <v>2858</v>
      </c>
      <c r="D394" s="7">
        <f t="shared" si="22"/>
        <v>24102</v>
      </c>
      <c r="E394" s="7">
        <f t="shared" si="21"/>
        <v>280825</v>
      </c>
      <c r="F394" s="7">
        <f>$L$2-SUM(D394,E394)</f>
        <v>9699214</v>
      </c>
      <c r="G394" s="7"/>
      <c r="H394" s="7">
        <f t="shared" si="20"/>
        <v>2.3715837265200746E-3</v>
      </c>
      <c r="I394" s="7"/>
    </row>
    <row r="395" spans="1:9" x14ac:dyDescent="0.25">
      <c r="A395" s="5">
        <v>394</v>
      </c>
      <c r="B395" s="6">
        <v>44291</v>
      </c>
      <c r="C395" s="7">
        <v>5003</v>
      </c>
      <c r="D395" s="7">
        <f t="shared" si="22"/>
        <v>24717</v>
      </c>
      <c r="E395" s="7">
        <f t="shared" si="21"/>
        <v>284433</v>
      </c>
      <c r="F395" s="7">
        <f>$L$2-SUM(D395,E395)</f>
        <v>9694991</v>
      </c>
      <c r="G395" s="7"/>
      <c r="H395" s="7">
        <f t="shared" si="20"/>
        <v>2.7422978346394408E-3</v>
      </c>
      <c r="I395" s="7"/>
    </row>
    <row r="396" spans="1:9" x14ac:dyDescent="0.25">
      <c r="A396" s="5">
        <v>395</v>
      </c>
      <c r="B396" s="6">
        <v>44292</v>
      </c>
      <c r="C396" s="7">
        <v>4252</v>
      </c>
      <c r="D396" s="7">
        <f t="shared" si="22"/>
        <v>23898</v>
      </c>
      <c r="E396" s="7">
        <f t="shared" si="21"/>
        <v>288276</v>
      </c>
      <c r="F396" s="7">
        <f>$L$2-SUM(D396,E396)</f>
        <v>9691967</v>
      </c>
      <c r="G396" s="7"/>
      <c r="H396" s="7">
        <f t="shared" si="20"/>
        <v>4.2598065742552272E-3</v>
      </c>
      <c r="I396" s="7"/>
    </row>
    <row r="397" spans="1:9" x14ac:dyDescent="0.25">
      <c r="A397" s="5">
        <v>396</v>
      </c>
      <c r="B397" s="6">
        <v>44293</v>
      </c>
      <c r="C397" s="7">
        <v>4606</v>
      </c>
      <c r="D397" s="7">
        <f t="shared" si="22"/>
        <v>24281</v>
      </c>
      <c r="E397" s="7">
        <f t="shared" si="21"/>
        <v>291880</v>
      </c>
      <c r="F397" s="7">
        <f>$L$2-SUM(D397,E397)</f>
        <v>9687980</v>
      </c>
      <c r="G397" s="7"/>
      <c r="H397" s="7">
        <f t="shared" si="20"/>
        <v>2.1207345484445662E-3</v>
      </c>
      <c r="I397" s="7"/>
    </row>
    <row r="398" spans="1:9" x14ac:dyDescent="0.25">
      <c r="A398" s="5">
        <v>397</v>
      </c>
      <c r="B398" s="6">
        <v>44294</v>
      </c>
      <c r="C398" s="7">
        <v>4463</v>
      </c>
      <c r="D398" s="7">
        <f t="shared" si="22"/>
        <v>25887</v>
      </c>
      <c r="E398" s="7">
        <f t="shared" si="21"/>
        <v>294264</v>
      </c>
      <c r="F398" s="7">
        <f>$L$2-SUM(D398,E398)</f>
        <v>9683990</v>
      </c>
      <c r="G398" s="7"/>
      <c r="H398" s="7">
        <f t="shared" si="20"/>
        <v>1.6074001576815377E-3</v>
      </c>
      <c r="I398" s="7"/>
    </row>
    <row r="399" spans="1:9" x14ac:dyDescent="0.25">
      <c r="A399" s="5">
        <v>398</v>
      </c>
      <c r="B399" s="6">
        <v>44295</v>
      </c>
      <c r="C399" s="7">
        <v>3832</v>
      </c>
      <c r="D399" s="7">
        <f t="shared" si="22"/>
        <v>28065</v>
      </c>
      <c r="E399" s="7">
        <f t="shared" si="21"/>
        <v>295007</v>
      </c>
      <c r="F399" s="7">
        <f>$L$2-SUM(D399,E399)</f>
        <v>9681069</v>
      </c>
      <c r="G399" s="7"/>
      <c r="H399" s="7">
        <f t="shared" si="20"/>
        <v>3.0880623171653555E-3</v>
      </c>
      <c r="I399" s="7"/>
    </row>
    <row r="400" spans="1:9" x14ac:dyDescent="0.25">
      <c r="A400" s="5">
        <v>399</v>
      </c>
      <c r="B400" s="6">
        <v>44296</v>
      </c>
      <c r="C400" s="7">
        <v>3516</v>
      </c>
      <c r="D400" s="7">
        <f t="shared" si="22"/>
        <v>28530</v>
      </c>
      <c r="E400" s="7">
        <f t="shared" si="21"/>
        <v>296961</v>
      </c>
      <c r="F400" s="7">
        <f>$L$2-SUM(D400,E400)</f>
        <v>9678650</v>
      </c>
      <c r="G400" s="7"/>
      <c r="H400" s="7">
        <f t="shared" si="20"/>
        <v>3.6940877758358842E-3</v>
      </c>
      <c r="I400" s="7"/>
    </row>
    <row r="401" spans="1:9" x14ac:dyDescent="0.25">
      <c r="A401" s="5">
        <v>400</v>
      </c>
      <c r="B401" s="6">
        <v>44297</v>
      </c>
      <c r="C401" s="7">
        <v>1214</v>
      </c>
      <c r="D401" s="7">
        <f t="shared" si="22"/>
        <v>26886</v>
      </c>
      <c r="E401" s="7">
        <f t="shared" si="21"/>
        <v>299100</v>
      </c>
      <c r="F401" s="7">
        <f>$L$2-SUM(D401,E401)</f>
        <v>9678155</v>
      </c>
      <c r="G401" s="7"/>
      <c r="H401" s="7">
        <f t="shared" si="20"/>
        <v>2.4038783015713806E-3</v>
      </c>
      <c r="I401" s="7"/>
    </row>
    <row r="402" spans="1:9" x14ac:dyDescent="0.25">
      <c r="A402" s="5">
        <v>401</v>
      </c>
      <c r="B402" s="6">
        <v>44298</v>
      </c>
      <c r="C402" s="7">
        <v>4001</v>
      </c>
      <c r="D402" s="7">
        <f t="shared" si="22"/>
        <v>25884</v>
      </c>
      <c r="E402" s="7">
        <f t="shared" si="21"/>
        <v>303007</v>
      </c>
      <c r="F402" s="7">
        <f>$L$2-SUM(D402,E402)</f>
        <v>9675250</v>
      </c>
      <c r="G402" s="7"/>
      <c r="H402" s="7">
        <f t="shared" si="20"/>
        <v>3.6170781533099894E-3</v>
      </c>
      <c r="I402" s="7"/>
    </row>
    <row r="403" spans="1:9" x14ac:dyDescent="0.25">
      <c r="A403" s="5">
        <v>402</v>
      </c>
      <c r="B403" s="6">
        <v>44299</v>
      </c>
      <c r="C403" s="7">
        <v>3678</v>
      </c>
      <c r="D403" s="7">
        <f t="shared" si="22"/>
        <v>25310</v>
      </c>
      <c r="E403" s="7">
        <f t="shared" si="21"/>
        <v>305840</v>
      </c>
      <c r="F403" s="7">
        <f>$L$2-SUM(D403,E403)</f>
        <v>9672991</v>
      </c>
      <c r="G403" s="7"/>
      <c r="H403" s="7">
        <f t="shared" si="20"/>
        <v>4.6396808788909238E-3</v>
      </c>
      <c r="I403" s="7"/>
    </row>
    <row r="404" spans="1:9" x14ac:dyDescent="0.25">
      <c r="A404" s="5">
        <v>403</v>
      </c>
      <c r="B404" s="6">
        <v>44300</v>
      </c>
      <c r="C404" s="7">
        <v>3371</v>
      </c>
      <c r="D404" s="7">
        <f t="shared" si="22"/>
        <v>24075</v>
      </c>
      <c r="E404" s="7">
        <f t="shared" si="21"/>
        <v>308758</v>
      </c>
      <c r="F404" s="7">
        <f>$L$2-SUM(D404,E404)</f>
        <v>9671308</v>
      </c>
      <c r="G404" s="7"/>
      <c r="H404" s="7">
        <f t="shared" si="20"/>
        <v>5.4670648209924925E-3</v>
      </c>
      <c r="I404" s="7"/>
    </row>
    <row r="405" spans="1:9" x14ac:dyDescent="0.25">
      <c r="A405" s="5">
        <v>404</v>
      </c>
      <c r="B405" s="6">
        <v>44301</v>
      </c>
      <c r="C405" s="7">
        <v>4002</v>
      </c>
      <c r="D405" s="7">
        <f t="shared" si="22"/>
        <v>23614</v>
      </c>
      <c r="E405" s="7">
        <f t="shared" si="21"/>
        <v>311070</v>
      </c>
      <c r="F405" s="7">
        <f>$L$2-SUM(D405,E405)</f>
        <v>9669457</v>
      </c>
      <c r="G405" s="7"/>
      <c r="H405" s="7">
        <f t="shared" si="20"/>
        <v>6.9148423184492236E-3</v>
      </c>
      <c r="I405" s="7"/>
    </row>
    <row r="406" spans="1:9" x14ac:dyDescent="0.25">
      <c r="A406" s="5">
        <v>405</v>
      </c>
      <c r="B406" s="6">
        <v>44302</v>
      </c>
      <c r="C406" s="7">
        <v>4761</v>
      </c>
      <c r="D406" s="7">
        <f t="shared" si="22"/>
        <v>24543</v>
      </c>
      <c r="E406" s="7">
        <f t="shared" si="21"/>
        <v>313405</v>
      </c>
      <c r="F406" s="7">
        <f>$L$2-SUM(D406,E406)</f>
        <v>9666193</v>
      </c>
      <c r="G406" s="7"/>
      <c r="H406" s="7">
        <f t="shared" si="20"/>
        <v>4.7765670617890589E-3</v>
      </c>
      <c r="I406" s="7"/>
    </row>
    <row r="407" spans="1:9" x14ac:dyDescent="0.25">
      <c r="A407" s="5">
        <v>406</v>
      </c>
      <c r="B407" s="6">
        <v>44303</v>
      </c>
      <c r="C407" s="7">
        <v>3081</v>
      </c>
      <c r="D407" s="7">
        <f t="shared" si="22"/>
        <v>24108</v>
      </c>
      <c r="E407" s="7">
        <f t="shared" si="21"/>
        <v>315656</v>
      </c>
      <c r="F407" s="7">
        <f>$L$2-SUM(D407,E407)</f>
        <v>9664377</v>
      </c>
      <c r="G407" s="7"/>
      <c r="H407" s="7">
        <f t="shared" si="20"/>
        <v>4.0075271814887089E-3</v>
      </c>
      <c r="I407" s="7"/>
    </row>
    <row r="408" spans="1:9" x14ac:dyDescent="0.25">
      <c r="A408" s="5">
        <v>407</v>
      </c>
      <c r="B408" s="6">
        <v>44304</v>
      </c>
      <c r="C408" s="7">
        <v>1139</v>
      </c>
      <c r="D408" s="7">
        <f t="shared" si="22"/>
        <v>24033</v>
      </c>
      <c r="E408" s="7">
        <f t="shared" si="21"/>
        <v>315328</v>
      </c>
      <c r="F408" s="7">
        <f>$L$2-SUM(D408,E408)</f>
        <v>9664780</v>
      </c>
      <c r="G408" s="7"/>
      <c r="H408" s="7">
        <f t="shared" si="20"/>
        <v>4.8901461335498272E-3</v>
      </c>
      <c r="I408" s="7"/>
    </row>
    <row r="409" spans="1:9" x14ac:dyDescent="0.25">
      <c r="A409" s="5">
        <v>408</v>
      </c>
      <c r="B409" s="6">
        <v>44305</v>
      </c>
      <c r="C409" s="7">
        <v>3270</v>
      </c>
      <c r="D409" s="7">
        <f t="shared" si="22"/>
        <v>23302</v>
      </c>
      <c r="E409" s="7">
        <f t="shared" si="21"/>
        <v>317057</v>
      </c>
      <c r="F409" s="7">
        <f>$L$2-SUM(D409,E409)</f>
        <v>9663782</v>
      </c>
      <c r="G409" s="7"/>
      <c r="H409" s="7">
        <f t="shared" si="20"/>
        <v>7.1659039226385163E-3</v>
      </c>
      <c r="I409" s="7"/>
    </row>
    <row r="410" spans="1:9" x14ac:dyDescent="0.25">
      <c r="A410" s="5">
        <v>409</v>
      </c>
      <c r="B410" s="6">
        <v>44306</v>
      </c>
      <c r="C410" s="7">
        <v>2928</v>
      </c>
      <c r="D410" s="7">
        <f t="shared" si="22"/>
        <v>22552</v>
      </c>
      <c r="E410" s="7">
        <f t="shared" si="21"/>
        <v>318662</v>
      </c>
      <c r="F410" s="7">
        <f>$L$2-SUM(D410,E410)</f>
        <v>9662927</v>
      </c>
      <c r="G410" s="7"/>
      <c r="H410" s="7">
        <f t="shared" si="20"/>
        <v>6.5053253917944408E-3</v>
      </c>
      <c r="I410" s="7"/>
    </row>
    <row r="411" spans="1:9" x14ac:dyDescent="0.25">
      <c r="A411" s="5">
        <v>410</v>
      </c>
      <c r="B411" s="6">
        <v>44307</v>
      </c>
      <c r="C411" s="7">
        <v>3118</v>
      </c>
      <c r="D411" s="7">
        <f t="shared" si="22"/>
        <v>22299</v>
      </c>
      <c r="E411" s="7">
        <f t="shared" si="21"/>
        <v>320077</v>
      </c>
      <c r="F411" s="7">
        <f>$L$2-SUM(D411,E411)</f>
        <v>9661765</v>
      </c>
      <c r="G411" s="7"/>
      <c r="H411" s="7">
        <f t="shared" si="20"/>
        <v>6.1110295335184972E-3</v>
      </c>
      <c r="I411" s="7"/>
    </row>
    <row r="412" spans="1:9" x14ac:dyDescent="0.25">
      <c r="A412" s="5">
        <v>411</v>
      </c>
      <c r="B412" s="6">
        <v>44308</v>
      </c>
      <c r="C412" s="7">
        <v>3458</v>
      </c>
      <c r="D412" s="7">
        <f t="shared" si="22"/>
        <v>21755</v>
      </c>
      <c r="E412" s="7">
        <f t="shared" si="21"/>
        <v>321755</v>
      </c>
      <c r="F412" s="7">
        <f>$L$2-SUM(D412,E412)</f>
        <v>9660631</v>
      </c>
      <c r="G412" s="7"/>
      <c r="H412" s="7">
        <f t="shared" si="20"/>
        <v>7.2228869792233218E-3</v>
      </c>
      <c r="I412" s="7"/>
    </row>
    <row r="413" spans="1:9" x14ac:dyDescent="0.25">
      <c r="A413" s="5">
        <v>412</v>
      </c>
      <c r="B413" s="6">
        <v>44309</v>
      </c>
      <c r="C413" s="7">
        <v>3287</v>
      </c>
      <c r="D413" s="7">
        <f t="shared" si="22"/>
        <v>20281</v>
      </c>
      <c r="E413" s="7">
        <f t="shared" si="21"/>
        <v>324467</v>
      </c>
      <c r="F413" s="7">
        <f>$L$2-SUM(D413,E413)</f>
        <v>9659393</v>
      </c>
      <c r="G413" s="7"/>
      <c r="H413" s="7">
        <f t="shared" si="20"/>
        <v>6.3149719385946802E-3</v>
      </c>
      <c r="I413" s="7"/>
    </row>
    <row r="414" spans="1:9" x14ac:dyDescent="0.25">
      <c r="A414" s="5">
        <v>413</v>
      </c>
      <c r="B414" s="6">
        <v>44310</v>
      </c>
      <c r="C414" s="7">
        <v>2874</v>
      </c>
      <c r="D414" s="7">
        <f t="shared" si="22"/>
        <v>20074</v>
      </c>
      <c r="E414" s="7">
        <f t="shared" si="21"/>
        <v>325089</v>
      </c>
      <c r="F414" s="7">
        <f>$L$2-SUM(D414,E414)</f>
        <v>9658978</v>
      </c>
      <c r="G414" s="7"/>
      <c r="H414" s="7">
        <f t="shared" si="20"/>
        <v>7.5640824512671918E-3</v>
      </c>
      <c r="I414" s="7"/>
    </row>
    <row r="415" spans="1:9" x14ac:dyDescent="0.25">
      <c r="A415" s="5">
        <v>414</v>
      </c>
      <c r="B415" s="6">
        <v>44311</v>
      </c>
      <c r="C415" s="7">
        <v>1880</v>
      </c>
      <c r="D415" s="7">
        <f t="shared" si="22"/>
        <v>20815</v>
      </c>
      <c r="E415" s="7">
        <f t="shared" si="21"/>
        <v>323578</v>
      </c>
      <c r="F415" s="7">
        <f>$L$2-SUM(D415,E415)</f>
        <v>9659748</v>
      </c>
      <c r="G415" s="7"/>
      <c r="H415" s="7">
        <f t="shared" si="20"/>
        <v>8.1896791500040179E-3</v>
      </c>
      <c r="I415" s="7"/>
    </row>
    <row r="416" spans="1:9" x14ac:dyDescent="0.25">
      <c r="A416" s="5">
        <v>415</v>
      </c>
      <c r="B416" s="6">
        <v>44312</v>
      </c>
      <c r="C416" s="7">
        <v>2979</v>
      </c>
      <c r="D416" s="7">
        <f t="shared" si="22"/>
        <v>20524</v>
      </c>
      <c r="E416" s="7">
        <f t="shared" si="21"/>
        <v>323965</v>
      </c>
      <c r="F416" s="7">
        <f>$L$2-SUM(D416,E416)</f>
        <v>9659652</v>
      </c>
      <c r="G416" s="7"/>
      <c r="H416" s="7">
        <f t="shared" si="20"/>
        <v>8.89910947170219E-3</v>
      </c>
      <c r="I416" s="7"/>
    </row>
    <row r="417" spans="1:9" x14ac:dyDescent="0.25">
      <c r="A417" s="5">
        <v>416</v>
      </c>
      <c r="B417" s="6">
        <v>44313</v>
      </c>
      <c r="C417" s="7">
        <v>2917</v>
      </c>
      <c r="D417" s="7">
        <f t="shared" si="22"/>
        <v>20513</v>
      </c>
      <c r="E417" s="7">
        <f t="shared" si="21"/>
        <v>324598</v>
      </c>
      <c r="F417" s="7">
        <f>$L$2-SUM(D417,E417)</f>
        <v>9659030</v>
      </c>
      <c r="G417" s="7"/>
      <c r="H417" s="7">
        <f t="shared" si="20"/>
        <v>7.0702838588038129E-3</v>
      </c>
      <c r="I417" s="7"/>
    </row>
    <row r="418" spans="1:9" x14ac:dyDescent="0.25">
      <c r="A418" s="5">
        <v>417</v>
      </c>
      <c r="B418" s="6">
        <v>44314</v>
      </c>
      <c r="C418" s="7">
        <v>2866</v>
      </c>
      <c r="D418" s="7">
        <f t="shared" si="22"/>
        <v>20261</v>
      </c>
      <c r="E418" s="7">
        <f t="shared" si="21"/>
        <v>324789</v>
      </c>
      <c r="F418" s="7">
        <f>$L$2-SUM(D418,E418)</f>
        <v>9659091</v>
      </c>
      <c r="G418" s="7"/>
      <c r="H418" s="7">
        <f t="shared" si="20"/>
        <v>9.0120047169085157E-3</v>
      </c>
      <c r="I418" s="7"/>
    </row>
    <row r="419" spans="1:9" x14ac:dyDescent="0.25">
      <c r="A419" s="5">
        <v>418</v>
      </c>
      <c r="B419" s="6">
        <v>44315</v>
      </c>
      <c r="C419" s="7">
        <v>2826</v>
      </c>
      <c r="D419" s="7">
        <f t="shared" si="22"/>
        <v>19629</v>
      </c>
      <c r="E419" s="7">
        <f t="shared" si="21"/>
        <v>325052</v>
      </c>
      <c r="F419" s="7">
        <f>$L$2-SUM(D419,E419)</f>
        <v>9659460</v>
      </c>
      <c r="G419" s="7"/>
      <c r="H419" s="7">
        <f t="shared" ref="H419:H482" si="23">C322/E419</f>
        <v>9.8291965593197399E-3</v>
      </c>
      <c r="I419" s="7"/>
    </row>
    <row r="420" spans="1:9" x14ac:dyDescent="0.25">
      <c r="A420" s="5">
        <v>419</v>
      </c>
      <c r="B420" s="6">
        <v>44316</v>
      </c>
      <c r="C420" s="7">
        <v>2592</v>
      </c>
      <c r="D420" s="7">
        <f t="shared" si="22"/>
        <v>18934</v>
      </c>
      <c r="E420" s="7">
        <f t="shared" ref="E420:E483" si="24">SUM(C324:C413)</f>
        <v>324597</v>
      </c>
      <c r="F420" s="7">
        <f>$L$2-SUM(D420,E420)</f>
        <v>9660610</v>
      </c>
      <c r="G420" s="7"/>
      <c r="H420" s="7">
        <f t="shared" si="23"/>
        <v>1.1528141048746599E-2</v>
      </c>
      <c r="I420" s="7"/>
    </row>
    <row r="421" spans="1:9" x14ac:dyDescent="0.25">
      <c r="A421" s="5">
        <v>420</v>
      </c>
      <c r="B421" s="6">
        <v>44317</v>
      </c>
      <c r="C421" s="7">
        <v>1911</v>
      </c>
      <c r="D421" s="7">
        <f t="shared" si="22"/>
        <v>17971</v>
      </c>
      <c r="E421" s="7">
        <f t="shared" si="24"/>
        <v>326114</v>
      </c>
      <c r="F421" s="7">
        <f>$L$2-SUM(D421,E421)</f>
        <v>9660056</v>
      </c>
      <c r="G421" s="7"/>
      <c r="H421" s="7">
        <f t="shared" si="23"/>
        <v>4.1611215709843798E-3</v>
      </c>
      <c r="I421" s="7"/>
    </row>
    <row r="422" spans="1:9" x14ac:dyDescent="0.25">
      <c r="A422" s="5">
        <v>421</v>
      </c>
      <c r="B422" s="6">
        <v>44318</v>
      </c>
      <c r="C422" s="7">
        <v>1401</v>
      </c>
      <c r="D422" s="7">
        <f t="shared" si="22"/>
        <v>17492</v>
      </c>
      <c r="E422" s="7">
        <f t="shared" si="24"/>
        <v>324615</v>
      </c>
      <c r="F422" s="7">
        <f>$L$2-SUM(D422,E422)</f>
        <v>9662034</v>
      </c>
      <c r="G422" s="7"/>
      <c r="H422" s="7">
        <f t="shared" si="23"/>
        <v>1.0409254039400521E-2</v>
      </c>
      <c r="I422" s="7"/>
    </row>
    <row r="423" spans="1:9" x14ac:dyDescent="0.25">
      <c r="A423" s="5">
        <v>422</v>
      </c>
      <c r="B423" s="6">
        <v>44319</v>
      </c>
      <c r="C423" s="7">
        <v>2053</v>
      </c>
      <c r="D423" s="7">
        <f t="shared" si="22"/>
        <v>16566</v>
      </c>
      <c r="E423" s="7">
        <f t="shared" si="24"/>
        <v>324485</v>
      </c>
      <c r="F423" s="7">
        <f>$L$2-SUM(D423,E423)</f>
        <v>9663090</v>
      </c>
      <c r="G423" s="7"/>
      <c r="H423" s="7">
        <f t="shared" si="23"/>
        <v>9.5813365795029051E-3</v>
      </c>
      <c r="I423" s="7"/>
    </row>
    <row r="424" spans="1:9" x14ac:dyDescent="0.25">
      <c r="A424" s="5">
        <v>423</v>
      </c>
      <c r="B424" s="6">
        <v>44320</v>
      </c>
      <c r="C424" s="7">
        <v>2283</v>
      </c>
      <c r="D424" s="7">
        <f t="shared" si="22"/>
        <v>15932</v>
      </c>
      <c r="E424" s="7">
        <f t="shared" si="24"/>
        <v>324809</v>
      </c>
      <c r="F424" s="7">
        <f>$L$2-SUM(D424,E424)</f>
        <v>9663400</v>
      </c>
      <c r="G424" s="7"/>
      <c r="H424" s="7">
        <f t="shared" si="23"/>
        <v>7.9831531761743058E-3</v>
      </c>
      <c r="I424" s="7"/>
    </row>
    <row r="425" spans="1:9" x14ac:dyDescent="0.25">
      <c r="A425" s="5">
        <v>424</v>
      </c>
      <c r="B425" s="6">
        <v>44321</v>
      </c>
      <c r="C425" s="7">
        <v>2436</v>
      </c>
      <c r="D425" s="7">
        <f t="shared" si="22"/>
        <v>15502</v>
      </c>
      <c r="E425" s="7">
        <f t="shared" si="24"/>
        <v>324174</v>
      </c>
      <c r="F425" s="7">
        <f>$L$2-SUM(D425,E425)</f>
        <v>9664465</v>
      </c>
      <c r="G425" s="7"/>
      <c r="H425" s="7">
        <f t="shared" si="23"/>
        <v>1.0799755686760814E-2</v>
      </c>
      <c r="I425" s="7"/>
    </row>
    <row r="426" spans="1:9" x14ac:dyDescent="0.25">
      <c r="A426" s="5">
        <v>425</v>
      </c>
      <c r="B426" s="6">
        <v>44322</v>
      </c>
      <c r="C426" s="7">
        <v>2035</v>
      </c>
      <c r="D426" s="7">
        <f t="shared" si="22"/>
        <v>14711</v>
      </c>
      <c r="E426" s="7">
        <f t="shared" si="24"/>
        <v>323488</v>
      </c>
      <c r="F426" s="7">
        <f>$L$2-SUM(D426,E426)</f>
        <v>9665942</v>
      </c>
      <c r="G426" s="7"/>
      <c r="H426" s="7">
        <f t="shared" si="23"/>
        <v>1.0856662380057374E-2</v>
      </c>
      <c r="I426" s="7"/>
    </row>
    <row r="427" spans="1:9" x14ac:dyDescent="0.25">
      <c r="A427" s="5">
        <v>426</v>
      </c>
      <c r="B427" s="6">
        <v>44323</v>
      </c>
      <c r="C427" s="7">
        <v>2279</v>
      </c>
      <c r="D427" s="7">
        <f t="shared" si="22"/>
        <v>14398</v>
      </c>
      <c r="E427" s="7">
        <f t="shared" si="24"/>
        <v>323182</v>
      </c>
      <c r="F427" s="7">
        <f>$L$2-SUM(D427,E427)</f>
        <v>9666561</v>
      </c>
      <c r="G427" s="7"/>
      <c r="H427" s="7">
        <f t="shared" si="23"/>
        <v>8.9670835628221871E-3</v>
      </c>
      <c r="I427" s="7"/>
    </row>
    <row r="428" spans="1:9" x14ac:dyDescent="0.25">
      <c r="A428" s="5">
        <v>427</v>
      </c>
      <c r="B428" s="6">
        <v>44324</v>
      </c>
      <c r="C428" s="7">
        <v>1584</v>
      </c>
      <c r="D428" s="7">
        <f t="shared" si="22"/>
        <v>14071</v>
      </c>
      <c r="E428" s="7">
        <f t="shared" si="24"/>
        <v>322742</v>
      </c>
      <c r="F428" s="7">
        <f>$L$2-SUM(D428,E428)</f>
        <v>9667328</v>
      </c>
      <c r="G428" s="7"/>
      <c r="H428" s="7">
        <f t="shared" si="23"/>
        <v>7.2844563149512612E-3</v>
      </c>
      <c r="I428" s="7"/>
    </row>
    <row r="429" spans="1:9" x14ac:dyDescent="0.25">
      <c r="A429" s="5">
        <v>428</v>
      </c>
      <c r="B429" s="6">
        <v>44325</v>
      </c>
      <c r="C429" s="7">
        <v>660</v>
      </c>
      <c r="D429" s="7">
        <f t="shared" si="22"/>
        <v>13330</v>
      </c>
      <c r="E429" s="7">
        <f t="shared" si="24"/>
        <v>319869</v>
      </c>
      <c r="F429" s="7">
        <f>$L$2-SUM(D429,E429)</f>
        <v>9670942</v>
      </c>
      <c r="G429" s="7"/>
      <c r="H429" s="7">
        <f t="shared" si="23"/>
        <v>1.3361719954106212E-2</v>
      </c>
      <c r="I429" s="7"/>
    </row>
    <row r="430" spans="1:9" x14ac:dyDescent="0.25">
      <c r="A430" s="5">
        <v>429</v>
      </c>
      <c r="B430" s="6">
        <v>44326</v>
      </c>
      <c r="C430" s="7">
        <v>2403</v>
      </c>
      <c r="D430" s="7">
        <f t="shared" si="22"/>
        <v>13680</v>
      </c>
      <c r="E430" s="7">
        <f t="shared" si="24"/>
        <v>317339</v>
      </c>
      <c r="F430" s="7">
        <f>$L$2-SUM(D430,E430)</f>
        <v>9673122</v>
      </c>
      <c r="G430" s="7"/>
      <c r="H430" s="7">
        <f t="shared" si="23"/>
        <v>1.4441968998452759E-2</v>
      </c>
      <c r="I430" s="7"/>
    </row>
    <row r="431" spans="1:9" x14ac:dyDescent="0.25">
      <c r="A431" s="5">
        <v>430</v>
      </c>
      <c r="B431" s="6">
        <v>44327</v>
      </c>
      <c r="C431" s="7">
        <v>2070</v>
      </c>
      <c r="D431" s="7">
        <f t="shared" si="22"/>
        <v>13467</v>
      </c>
      <c r="E431" s="7">
        <f t="shared" si="24"/>
        <v>315700</v>
      </c>
      <c r="F431" s="7">
        <f>$L$2-SUM(D431,E431)</f>
        <v>9674974</v>
      </c>
      <c r="G431" s="7"/>
      <c r="H431" s="7">
        <f t="shared" si="23"/>
        <v>1.2423186569528033E-2</v>
      </c>
      <c r="I431" s="7"/>
    </row>
    <row r="432" spans="1:9" x14ac:dyDescent="0.25">
      <c r="A432" s="5">
        <v>431</v>
      </c>
      <c r="B432" s="6">
        <v>44328</v>
      </c>
      <c r="C432" s="7">
        <v>2001</v>
      </c>
      <c r="D432" s="7">
        <f t="shared" si="22"/>
        <v>13032</v>
      </c>
      <c r="E432" s="7">
        <f t="shared" si="24"/>
        <v>313401</v>
      </c>
      <c r="F432" s="7">
        <f>$L$2-SUM(D432,E432)</f>
        <v>9677708</v>
      </c>
      <c r="G432" s="7"/>
      <c r="H432" s="7">
        <f t="shared" si="23"/>
        <v>1.5108439347672789E-2</v>
      </c>
      <c r="I432" s="7"/>
    </row>
    <row r="433" spans="1:9" x14ac:dyDescent="0.25">
      <c r="A433" s="5">
        <v>432</v>
      </c>
      <c r="B433" s="6">
        <v>44329</v>
      </c>
      <c r="C433" s="7">
        <v>2009</v>
      </c>
      <c r="D433" s="7">
        <f t="shared" si="22"/>
        <v>13006</v>
      </c>
      <c r="E433" s="7">
        <f t="shared" si="24"/>
        <v>310316</v>
      </c>
      <c r="F433" s="7">
        <f>$L$2-SUM(D433,E433)</f>
        <v>9680819</v>
      </c>
      <c r="G433" s="7"/>
      <c r="H433" s="7">
        <f t="shared" si="23"/>
        <v>1.6499310380386444E-2</v>
      </c>
      <c r="I433" s="7"/>
    </row>
    <row r="434" spans="1:9" x14ac:dyDescent="0.25">
      <c r="A434" s="5">
        <v>433</v>
      </c>
      <c r="B434" s="6">
        <v>44330</v>
      </c>
      <c r="C434" s="7">
        <v>1703</v>
      </c>
      <c r="D434" s="7">
        <f t="shared" si="22"/>
        <v>12430</v>
      </c>
      <c r="E434" s="7">
        <f t="shared" si="24"/>
        <v>308503</v>
      </c>
      <c r="F434" s="7">
        <f>$L$2-SUM(D434,E434)</f>
        <v>9683208</v>
      </c>
      <c r="G434" s="7"/>
      <c r="H434" s="7">
        <f t="shared" si="23"/>
        <v>1.3264052537576621E-2</v>
      </c>
      <c r="I434" s="7"/>
    </row>
    <row r="435" spans="1:9" x14ac:dyDescent="0.25">
      <c r="A435" s="5">
        <v>434</v>
      </c>
      <c r="B435" s="6">
        <v>44331</v>
      </c>
      <c r="C435" s="7">
        <v>1402</v>
      </c>
      <c r="D435" s="7">
        <f t="shared" si="22"/>
        <v>12248</v>
      </c>
      <c r="E435" s="7">
        <f t="shared" si="24"/>
        <v>307343</v>
      </c>
      <c r="F435" s="7">
        <f>$L$2-SUM(D435,E435)</f>
        <v>9684550</v>
      </c>
      <c r="G435" s="7"/>
      <c r="H435" s="7">
        <f t="shared" si="23"/>
        <v>8.9281356660148442E-3</v>
      </c>
      <c r="I435" s="7"/>
    </row>
    <row r="436" spans="1:9" x14ac:dyDescent="0.25">
      <c r="A436" s="5">
        <v>435</v>
      </c>
      <c r="B436" s="6">
        <v>44332</v>
      </c>
      <c r="C436" s="7">
        <v>734</v>
      </c>
      <c r="D436" s="7">
        <f t="shared" si="22"/>
        <v>12322</v>
      </c>
      <c r="E436" s="7">
        <f t="shared" si="24"/>
        <v>304012</v>
      </c>
      <c r="F436" s="7">
        <f>$L$2-SUM(D436,E436)</f>
        <v>9687807</v>
      </c>
      <c r="G436" s="7"/>
      <c r="H436" s="7">
        <f t="shared" si="23"/>
        <v>1.3127771272186624E-2</v>
      </c>
      <c r="I436" s="7"/>
    </row>
    <row r="437" spans="1:9" x14ac:dyDescent="0.25">
      <c r="A437" s="5">
        <v>436</v>
      </c>
      <c r="B437" s="6">
        <v>44333</v>
      </c>
      <c r="C437" s="7">
        <v>1592</v>
      </c>
      <c r="D437" s="7">
        <f t="shared" si="22"/>
        <v>11511</v>
      </c>
      <c r="E437" s="7">
        <f t="shared" si="24"/>
        <v>302263</v>
      </c>
      <c r="F437" s="7">
        <f>$L$2-SUM(D437,E437)</f>
        <v>9690367</v>
      </c>
      <c r="G437" s="7"/>
      <c r="H437" s="7">
        <f t="shared" si="23"/>
        <v>1.3736381892590228E-2</v>
      </c>
      <c r="I437" s="7"/>
    </row>
    <row r="438" spans="1:9" x14ac:dyDescent="0.25">
      <c r="A438" s="5">
        <v>437</v>
      </c>
      <c r="B438" s="6">
        <v>44334</v>
      </c>
      <c r="C438" s="7">
        <v>1648</v>
      </c>
      <c r="D438" s="7">
        <f t="shared" si="22"/>
        <v>11089</v>
      </c>
      <c r="E438" s="7">
        <f t="shared" si="24"/>
        <v>300181</v>
      </c>
      <c r="F438" s="7">
        <f>$L$2-SUM(D438,E438)</f>
        <v>9692871</v>
      </c>
      <c r="G438" s="7"/>
      <c r="H438" s="7">
        <f t="shared" si="23"/>
        <v>1.3831654901542735E-2</v>
      </c>
      <c r="I438" s="7"/>
    </row>
    <row r="439" spans="1:9" x14ac:dyDescent="0.25">
      <c r="A439" s="5">
        <v>438</v>
      </c>
      <c r="B439" s="6">
        <v>44335</v>
      </c>
      <c r="C439" s="7">
        <v>1431</v>
      </c>
      <c r="D439" s="7">
        <f t="shared" si="22"/>
        <v>10519</v>
      </c>
      <c r="E439" s="7">
        <f t="shared" si="24"/>
        <v>298051</v>
      </c>
      <c r="F439" s="7">
        <f>$L$2-SUM(D439,E439)</f>
        <v>9695571</v>
      </c>
      <c r="G439" s="7"/>
      <c r="H439" s="7">
        <f t="shared" si="23"/>
        <v>1.3860044086414742E-2</v>
      </c>
      <c r="I439" s="7"/>
    </row>
    <row r="440" spans="1:9" x14ac:dyDescent="0.25">
      <c r="A440" s="5">
        <v>439</v>
      </c>
      <c r="B440" s="6">
        <v>44336</v>
      </c>
      <c r="C440" s="7">
        <v>1554</v>
      </c>
      <c r="D440" s="7">
        <f t="shared" si="22"/>
        <v>10064</v>
      </c>
      <c r="E440" s="7">
        <f t="shared" si="24"/>
        <v>296374</v>
      </c>
      <c r="F440" s="7">
        <f>$L$2-SUM(D440,E440)</f>
        <v>9697703</v>
      </c>
      <c r="G440" s="7"/>
      <c r="H440" s="7">
        <f t="shared" si="23"/>
        <v>1.2436988399792154E-2</v>
      </c>
      <c r="I440" s="7"/>
    </row>
    <row r="441" spans="1:9" x14ac:dyDescent="0.25">
      <c r="A441" s="5">
        <v>440</v>
      </c>
      <c r="B441" s="6">
        <v>44337</v>
      </c>
      <c r="C441" s="7">
        <v>1360</v>
      </c>
      <c r="D441" s="7">
        <f t="shared" si="22"/>
        <v>9721</v>
      </c>
      <c r="E441" s="7">
        <f t="shared" si="24"/>
        <v>294041</v>
      </c>
      <c r="F441" s="7">
        <f>$L$2-SUM(D441,E441)</f>
        <v>9700379</v>
      </c>
      <c r="G441" s="7"/>
      <c r="H441" s="7">
        <f t="shared" si="23"/>
        <v>1.372597698960349E-2</v>
      </c>
      <c r="I441" s="7"/>
    </row>
    <row r="442" spans="1:9" x14ac:dyDescent="0.25">
      <c r="A442" s="5">
        <v>441</v>
      </c>
      <c r="B442" s="6">
        <v>44338</v>
      </c>
      <c r="C442" s="7">
        <v>1177</v>
      </c>
      <c r="D442" s="7">
        <f t="shared" si="22"/>
        <v>9496</v>
      </c>
      <c r="E442" s="7">
        <f t="shared" si="24"/>
        <v>293660</v>
      </c>
      <c r="F442" s="7">
        <f>$L$2-SUM(D442,E442)</f>
        <v>9700985</v>
      </c>
      <c r="G442" s="7"/>
      <c r="H442" s="7">
        <f t="shared" si="23"/>
        <v>6.0716474834843015E-3</v>
      </c>
      <c r="I442" s="7"/>
    </row>
    <row r="443" spans="1:9" x14ac:dyDescent="0.25">
      <c r="A443" s="5">
        <v>442</v>
      </c>
      <c r="B443" s="6">
        <v>44339</v>
      </c>
      <c r="C443" s="7">
        <v>425</v>
      </c>
      <c r="D443" s="7">
        <f t="shared" si="22"/>
        <v>9187</v>
      </c>
      <c r="E443" s="7">
        <f t="shared" si="24"/>
        <v>290291</v>
      </c>
      <c r="F443" s="7">
        <f>$L$2-SUM(D443,E443)</f>
        <v>9704663</v>
      </c>
      <c r="G443" s="7"/>
      <c r="H443" s="7">
        <f t="shared" si="23"/>
        <v>1.413409303078635E-2</v>
      </c>
      <c r="I443" s="7"/>
    </row>
    <row r="444" spans="1:9" x14ac:dyDescent="0.25">
      <c r="A444" s="5">
        <v>443</v>
      </c>
      <c r="B444" s="6">
        <v>44340</v>
      </c>
      <c r="C444" s="7">
        <v>1352</v>
      </c>
      <c r="D444" s="7">
        <f t="shared" si="22"/>
        <v>8947</v>
      </c>
      <c r="E444" s="7">
        <f t="shared" si="24"/>
        <v>287343</v>
      </c>
      <c r="F444" s="7">
        <f>$L$2-SUM(D444,E444)</f>
        <v>9707851</v>
      </c>
      <c r="G444" s="7"/>
      <c r="H444" s="7">
        <f t="shared" si="23"/>
        <v>1.5799932484869997E-2</v>
      </c>
      <c r="I444" s="7"/>
    </row>
    <row r="445" spans="1:9" x14ac:dyDescent="0.25">
      <c r="A445" s="5">
        <v>444</v>
      </c>
      <c r="B445" s="6">
        <v>44341</v>
      </c>
      <c r="C445" s="7">
        <v>1590</v>
      </c>
      <c r="D445" s="7">
        <f t="shared" si="22"/>
        <v>8889</v>
      </c>
      <c r="E445" s="7">
        <f t="shared" si="24"/>
        <v>283898</v>
      </c>
      <c r="F445" s="7">
        <f>$L$2-SUM(D445,E445)</f>
        <v>9711354</v>
      </c>
      <c r="G445" s="7"/>
      <c r="H445" s="7">
        <f t="shared" si="23"/>
        <v>1.7939541666373134E-2</v>
      </c>
      <c r="I445" s="7"/>
    </row>
    <row r="446" spans="1:9" x14ac:dyDescent="0.25">
      <c r="A446" s="5">
        <v>445</v>
      </c>
      <c r="B446" s="6">
        <v>44342</v>
      </c>
      <c r="C446" s="7">
        <v>1322</v>
      </c>
      <c r="D446" s="7">
        <f t="shared" si="22"/>
        <v>8780</v>
      </c>
      <c r="E446" s="7">
        <f t="shared" si="24"/>
        <v>281326</v>
      </c>
      <c r="F446" s="7">
        <f>$L$2-SUM(D446,E446)</f>
        <v>9714035</v>
      </c>
      <c r="G446" s="7"/>
      <c r="H446" s="7">
        <f t="shared" si="23"/>
        <v>1.4229043885030178E-2</v>
      </c>
      <c r="I446" s="7"/>
    </row>
    <row r="447" spans="1:9" x14ac:dyDescent="0.25">
      <c r="A447" s="5">
        <v>446</v>
      </c>
      <c r="B447" s="6">
        <v>44343</v>
      </c>
      <c r="C447" s="7">
        <v>1096</v>
      </c>
      <c r="D447" s="7">
        <f t="shared" si="22"/>
        <v>8322</v>
      </c>
      <c r="E447" s="7">
        <f t="shared" si="24"/>
        <v>279275</v>
      </c>
      <c r="F447" s="7">
        <f>$L$2-SUM(D447,E447)</f>
        <v>9716544</v>
      </c>
      <c r="G447" s="7"/>
      <c r="H447" s="7">
        <f t="shared" si="23"/>
        <v>1.2908423596813177E-2</v>
      </c>
      <c r="I447" s="7"/>
    </row>
    <row r="448" spans="1:9" x14ac:dyDescent="0.25">
      <c r="A448" s="5">
        <v>447</v>
      </c>
      <c r="B448" s="6">
        <v>44344</v>
      </c>
      <c r="C448" s="7">
        <v>1037</v>
      </c>
      <c r="D448" s="7">
        <f t="shared" si="22"/>
        <v>7999</v>
      </c>
      <c r="E448" s="7">
        <f t="shared" si="24"/>
        <v>277089</v>
      </c>
      <c r="F448" s="7">
        <f>$L$2-SUM(D448,E448)</f>
        <v>9719053</v>
      </c>
      <c r="G448" s="7"/>
      <c r="H448" s="7">
        <f t="shared" si="23"/>
        <v>1.2797332265084503E-2</v>
      </c>
      <c r="I448" s="7"/>
    </row>
    <row r="449" spans="1:9" x14ac:dyDescent="0.25">
      <c r="A449" s="5">
        <v>448</v>
      </c>
      <c r="B449" s="6">
        <v>44345</v>
      </c>
      <c r="C449" s="7">
        <v>934</v>
      </c>
      <c r="D449" s="7">
        <f t="shared" si="22"/>
        <v>7756</v>
      </c>
      <c r="E449" s="7">
        <f t="shared" si="24"/>
        <v>276430</v>
      </c>
      <c r="F449" s="7">
        <f>$L$2-SUM(D449,E449)</f>
        <v>9719955</v>
      </c>
      <c r="G449" s="7"/>
      <c r="H449" s="7">
        <f t="shared" si="23"/>
        <v>6.6418261404333828E-3</v>
      </c>
      <c r="I449" s="7"/>
    </row>
    <row r="450" spans="1:9" x14ac:dyDescent="0.25">
      <c r="A450" s="5">
        <v>449</v>
      </c>
      <c r="B450" s="6">
        <v>44346</v>
      </c>
      <c r="C450" s="7">
        <v>359</v>
      </c>
      <c r="D450" s="7">
        <f t="shared" si="22"/>
        <v>7690</v>
      </c>
      <c r="E450" s="7">
        <f t="shared" si="24"/>
        <v>272714</v>
      </c>
      <c r="F450" s="7">
        <f>$L$2-SUM(D450,E450)</f>
        <v>9723737</v>
      </c>
      <c r="G450" s="7"/>
      <c r="H450" s="7">
        <f t="shared" si="23"/>
        <v>1.5184405641074532E-2</v>
      </c>
      <c r="I450" s="7"/>
    </row>
    <row r="451" spans="1:9" x14ac:dyDescent="0.25">
      <c r="A451" s="5">
        <v>450</v>
      </c>
      <c r="B451" s="6">
        <v>44347</v>
      </c>
      <c r="C451" s="7">
        <v>1082</v>
      </c>
      <c r="D451" s="7">
        <f t="shared" si="22"/>
        <v>7420</v>
      </c>
      <c r="E451" s="7">
        <f t="shared" si="24"/>
        <v>270265</v>
      </c>
      <c r="F451" s="7">
        <f>$L$2-SUM(D451,E451)</f>
        <v>9726456</v>
      </c>
      <c r="G451" s="7"/>
      <c r="H451" s="7">
        <f t="shared" si="23"/>
        <v>1.4063974247497826E-2</v>
      </c>
      <c r="I451" s="7"/>
    </row>
    <row r="452" spans="1:9" x14ac:dyDescent="0.25">
      <c r="A452" s="5">
        <v>451</v>
      </c>
      <c r="B452" s="6">
        <v>44348</v>
      </c>
      <c r="C452" s="7">
        <v>1045</v>
      </c>
      <c r="D452" s="7">
        <f t="shared" si="22"/>
        <v>6875</v>
      </c>
      <c r="E452" s="7">
        <f t="shared" si="24"/>
        <v>268080</v>
      </c>
      <c r="F452" s="7">
        <f>$L$2-SUM(D452,E452)</f>
        <v>9729186</v>
      </c>
      <c r="G452" s="7"/>
      <c r="H452" s="7">
        <f t="shared" si="23"/>
        <v>1.4081617427633543E-2</v>
      </c>
      <c r="I452" s="7"/>
    </row>
    <row r="453" spans="1:9" x14ac:dyDescent="0.25">
      <c r="A453" s="5">
        <v>452</v>
      </c>
      <c r="B453" s="6">
        <v>44349</v>
      </c>
      <c r="C453" s="7">
        <v>1088</v>
      </c>
      <c r="D453" s="7">
        <f t="shared" si="22"/>
        <v>6641</v>
      </c>
      <c r="E453" s="7">
        <f t="shared" si="24"/>
        <v>265246</v>
      </c>
      <c r="F453" s="7">
        <f>$L$2-SUM(D453,E453)</f>
        <v>9732254</v>
      </c>
      <c r="G453" s="7"/>
      <c r="H453" s="7">
        <f t="shared" si="23"/>
        <v>1.5668473794138271E-2</v>
      </c>
      <c r="I453" s="7"/>
    </row>
    <row r="454" spans="1:9" x14ac:dyDescent="0.25">
      <c r="A454" s="5">
        <v>453</v>
      </c>
      <c r="B454" s="6">
        <v>44350</v>
      </c>
      <c r="C454" s="7">
        <v>916</v>
      </c>
      <c r="D454" s="7">
        <f t="shared" si="22"/>
        <v>6461</v>
      </c>
      <c r="E454" s="7">
        <f t="shared" si="24"/>
        <v>262039</v>
      </c>
      <c r="F454" s="7">
        <f>$L$2-SUM(D454,E454)</f>
        <v>9735641</v>
      </c>
      <c r="G454" s="7"/>
      <c r="H454" s="7">
        <f t="shared" si="23"/>
        <v>1.6421219742099459E-2</v>
      </c>
      <c r="I454" s="7"/>
    </row>
    <row r="455" spans="1:9" x14ac:dyDescent="0.25">
      <c r="A455" s="5">
        <v>454</v>
      </c>
      <c r="B455" s="6">
        <v>44351</v>
      </c>
      <c r="C455" s="7">
        <v>1036</v>
      </c>
      <c r="D455" s="7">
        <f t="shared" si="22"/>
        <v>6460</v>
      </c>
      <c r="E455" s="7">
        <f t="shared" si="24"/>
        <v>259900</v>
      </c>
      <c r="F455" s="7">
        <f>$L$2-SUM(D455,E455)</f>
        <v>9737781</v>
      </c>
      <c r="G455" s="7"/>
      <c r="H455" s="7">
        <f t="shared" si="23"/>
        <v>1.2220084647941516E-2</v>
      </c>
      <c r="I455" s="7"/>
    </row>
    <row r="456" spans="1:9" x14ac:dyDescent="0.25">
      <c r="A456" s="5">
        <v>455</v>
      </c>
      <c r="B456" s="6">
        <v>44352</v>
      </c>
      <c r="C456" s="7">
        <v>846</v>
      </c>
      <c r="D456" s="7">
        <f t="shared" si="22"/>
        <v>6372</v>
      </c>
      <c r="E456" s="7">
        <f t="shared" si="24"/>
        <v>259214</v>
      </c>
      <c r="F456" s="7">
        <f>$L$2-SUM(D456,E456)</f>
        <v>9738555</v>
      </c>
      <c r="G456" s="7"/>
      <c r="H456" s="7">
        <f t="shared" si="23"/>
        <v>6.2496624410718557E-3</v>
      </c>
      <c r="I456" s="7"/>
    </row>
    <row r="457" spans="1:9" x14ac:dyDescent="0.25">
      <c r="A457" s="5">
        <v>456</v>
      </c>
      <c r="B457" s="6">
        <v>44353</v>
      </c>
      <c r="C457" s="7">
        <v>309</v>
      </c>
      <c r="D457" s="7">
        <f t="shared" ref="D457:D520" si="25">SUM(C451:C457)</f>
        <v>6322</v>
      </c>
      <c r="E457" s="7">
        <f t="shared" si="24"/>
        <v>255726</v>
      </c>
      <c r="F457" s="7">
        <f>$L$2-SUM(D457,E457)</f>
        <v>9742093</v>
      </c>
      <c r="G457" s="7"/>
      <c r="H457" s="7">
        <f t="shared" si="23"/>
        <v>1.5043444937159303E-2</v>
      </c>
      <c r="I457" s="7"/>
    </row>
    <row r="458" spans="1:9" x14ac:dyDescent="0.25">
      <c r="A458" s="5">
        <v>457</v>
      </c>
      <c r="B458" s="6">
        <v>44354</v>
      </c>
      <c r="C458" s="7">
        <v>956</v>
      </c>
      <c r="D458" s="7">
        <f t="shared" si="25"/>
        <v>6196</v>
      </c>
      <c r="E458" s="7">
        <f t="shared" si="24"/>
        <v>252997</v>
      </c>
      <c r="F458" s="7">
        <f>$L$2-SUM(D458,E458)</f>
        <v>9744948</v>
      </c>
      <c r="G458" s="7"/>
      <c r="H458" s="7">
        <f t="shared" si="23"/>
        <v>1.5063419724344558E-2</v>
      </c>
      <c r="I458" s="7"/>
    </row>
    <row r="459" spans="1:9" x14ac:dyDescent="0.25">
      <c r="A459" s="5">
        <v>458</v>
      </c>
      <c r="B459" s="6">
        <v>44355</v>
      </c>
      <c r="C459" s="7">
        <v>782</v>
      </c>
      <c r="D459" s="7">
        <f t="shared" si="25"/>
        <v>5933</v>
      </c>
      <c r="E459" s="7">
        <f t="shared" si="24"/>
        <v>250441</v>
      </c>
      <c r="F459" s="7">
        <f>$L$2-SUM(D459,E459)</f>
        <v>9747767</v>
      </c>
      <c r="G459" s="7"/>
      <c r="H459" s="7">
        <f t="shared" si="23"/>
        <v>1.4378636085944394E-2</v>
      </c>
      <c r="I459" s="7"/>
    </row>
    <row r="460" spans="1:9" x14ac:dyDescent="0.25">
      <c r="A460" s="5">
        <v>459</v>
      </c>
      <c r="B460" s="6">
        <v>44356</v>
      </c>
      <c r="C460" s="7">
        <v>897</v>
      </c>
      <c r="D460" s="7">
        <f t="shared" si="25"/>
        <v>5742</v>
      </c>
      <c r="E460" s="7">
        <f t="shared" si="24"/>
        <v>248032</v>
      </c>
      <c r="F460" s="7">
        <f>$L$2-SUM(D460,E460)</f>
        <v>9750367</v>
      </c>
      <c r="G460" s="7"/>
      <c r="H460" s="7">
        <f t="shared" si="23"/>
        <v>1.4098987227454523E-2</v>
      </c>
      <c r="I460" s="7"/>
    </row>
    <row r="461" spans="1:9" x14ac:dyDescent="0.25">
      <c r="A461" s="5">
        <v>460</v>
      </c>
      <c r="B461" s="6">
        <v>44357</v>
      </c>
      <c r="C461" s="7">
        <v>692</v>
      </c>
      <c r="D461" s="7">
        <f t="shared" si="25"/>
        <v>5518</v>
      </c>
      <c r="E461" s="7">
        <f t="shared" si="24"/>
        <v>245097</v>
      </c>
      <c r="F461" s="7">
        <f>$L$2-SUM(D461,E461)</f>
        <v>9753526</v>
      </c>
      <c r="G461" s="7"/>
      <c r="H461" s="7">
        <f t="shared" si="23"/>
        <v>1.5712146619501665E-2</v>
      </c>
      <c r="I461" s="7"/>
    </row>
    <row r="462" spans="1:9" x14ac:dyDescent="0.25">
      <c r="A462" s="5">
        <v>461</v>
      </c>
      <c r="B462" s="6">
        <v>44358</v>
      </c>
      <c r="C462" s="7">
        <v>796</v>
      </c>
      <c r="D462" s="7">
        <f t="shared" si="25"/>
        <v>5278</v>
      </c>
      <c r="E462" s="7">
        <f t="shared" si="24"/>
        <v>242501</v>
      </c>
      <c r="F462" s="7">
        <f>$L$2-SUM(D462,E462)</f>
        <v>9756362</v>
      </c>
      <c r="G462" s="7"/>
      <c r="H462" s="7">
        <f t="shared" si="23"/>
        <v>1.4977257825740924E-2</v>
      </c>
      <c r="I462" s="7"/>
    </row>
    <row r="463" spans="1:9" x14ac:dyDescent="0.25">
      <c r="A463" s="5">
        <v>462</v>
      </c>
      <c r="B463" s="6">
        <v>44359</v>
      </c>
      <c r="C463" s="7">
        <v>710</v>
      </c>
      <c r="D463" s="7">
        <f t="shared" si="25"/>
        <v>5142</v>
      </c>
      <c r="E463" s="7">
        <f t="shared" si="24"/>
        <v>241800</v>
      </c>
      <c r="F463" s="7">
        <f>$L$2-SUM(D463,E463)</f>
        <v>9757199</v>
      </c>
      <c r="G463" s="7"/>
      <c r="H463" s="7">
        <f t="shared" si="23"/>
        <v>6.3978494623655917E-3</v>
      </c>
      <c r="I463" s="7"/>
    </row>
    <row r="464" spans="1:9" x14ac:dyDescent="0.25">
      <c r="A464" s="5">
        <v>463</v>
      </c>
      <c r="B464" s="6">
        <v>44360</v>
      </c>
      <c r="C464" s="7">
        <v>294</v>
      </c>
      <c r="D464" s="7">
        <f t="shared" si="25"/>
        <v>5127</v>
      </c>
      <c r="E464" s="7">
        <f t="shared" si="24"/>
        <v>238098</v>
      </c>
      <c r="F464" s="7">
        <f>$L$2-SUM(D464,E464)</f>
        <v>9760916</v>
      </c>
      <c r="G464" s="7"/>
      <c r="H464" s="7">
        <f t="shared" si="23"/>
        <v>1.6846004586346799E-2</v>
      </c>
      <c r="I464" s="7"/>
    </row>
    <row r="465" spans="1:9" x14ac:dyDescent="0.25">
      <c r="A465" s="5">
        <v>464</v>
      </c>
      <c r="B465" s="6">
        <v>44361</v>
      </c>
      <c r="C465" s="7">
        <v>886</v>
      </c>
      <c r="D465" s="7">
        <f t="shared" si="25"/>
        <v>5057</v>
      </c>
      <c r="E465" s="7">
        <f t="shared" si="24"/>
        <v>235380</v>
      </c>
      <c r="F465" s="7">
        <f>$L$2-SUM(D465,E465)</f>
        <v>9763704</v>
      </c>
      <c r="G465" s="7"/>
      <c r="H465" s="7">
        <f t="shared" si="23"/>
        <v>1.5608802786982751E-2</v>
      </c>
      <c r="I465" s="7"/>
    </row>
    <row r="466" spans="1:9" x14ac:dyDescent="0.25">
      <c r="A466" s="5">
        <v>465</v>
      </c>
      <c r="B466" s="6">
        <v>44362</v>
      </c>
      <c r="C466" s="7">
        <v>2944</v>
      </c>
      <c r="D466" s="7">
        <f t="shared" si="25"/>
        <v>7219</v>
      </c>
      <c r="E466" s="7">
        <f t="shared" si="24"/>
        <v>232493</v>
      </c>
      <c r="F466" s="7">
        <f>$L$2-SUM(D466,E466)</f>
        <v>9764429</v>
      </c>
      <c r="G466" s="7"/>
      <c r="H466" s="7">
        <f t="shared" si="23"/>
        <v>1.5781120291793731E-2</v>
      </c>
      <c r="I466" s="7"/>
    </row>
    <row r="467" spans="1:9" x14ac:dyDescent="0.25">
      <c r="A467" s="5">
        <v>466</v>
      </c>
      <c r="B467" s="6">
        <v>44363</v>
      </c>
      <c r="C467" s="7">
        <v>1013</v>
      </c>
      <c r="D467" s="7">
        <f t="shared" si="25"/>
        <v>7335</v>
      </c>
      <c r="E467" s="7">
        <f t="shared" si="24"/>
        <v>229303</v>
      </c>
      <c r="F467" s="7">
        <f>$L$2-SUM(D467,E467)</f>
        <v>9767503</v>
      </c>
      <c r="G467" s="7"/>
      <c r="H467" s="7">
        <f t="shared" si="23"/>
        <v>1.7823578409353561E-2</v>
      </c>
      <c r="I467" s="7"/>
    </row>
    <row r="468" spans="1:9" x14ac:dyDescent="0.25">
      <c r="A468" s="5">
        <v>467</v>
      </c>
      <c r="B468" s="6">
        <v>44364</v>
      </c>
      <c r="C468" s="7">
        <v>838</v>
      </c>
      <c r="D468" s="7">
        <f t="shared" si="25"/>
        <v>7481</v>
      </c>
      <c r="E468" s="7">
        <f t="shared" si="24"/>
        <v>226540</v>
      </c>
      <c r="F468" s="7">
        <f>$L$2-SUM(D468,E468)</f>
        <v>9770120</v>
      </c>
      <c r="G468" s="7"/>
      <c r="H468" s="7">
        <f t="shared" si="23"/>
        <v>1.5251169771342809E-2</v>
      </c>
      <c r="I468" s="7"/>
    </row>
    <row r="469" spans="1:9" x14ac:dyDescent="0.25">
      <c r="A469" s="5">
        <v>468</v>
      </c>
      <c r="B469" s="6">
        <v>44365</v>
      </c>
      <c r="C469" s="7">
        <v>809</v>
      </c>
      <c r="D469" s="7">
        <f t="shared" si="25"/>
        <v>7494</v>
      </c>
      <c r="E469" s="7">
        <f t="shared" si="24"/>
        <v>224737</v>
      </c>
      <c r="F469" s="7">
        <f>$L$2-SUM(D469,E469)</f>
        <v>9771910</v>
      </c>
      <c r="G469" s="7"/>
      <c r="H469" s="7">
        <f t="shared" si="23"/>
        <v>1.1564628877309923E-2</v>
      </c>
      <c r="I469" s="7"/>
    </row>
    <row r="470" spans="1:9" x14ac:dyDescent="0.25">
      <c r="A470" s="5">
        <v>469</v>
      </c>
      <c r="B470" s="6">
        <v>44366</v>
      </c>
      <c r="C470" s="7">
        <v>592</v>
      </c>
      <c r="D470" s="7">
        <f t="shared" si="25"/>
        <v>7376</v>
      </c>
      <c r="E470" s="7">
        <f t="shared" si="24"/>
        <v>223164</v>
      </c>
      <c r="F470" s="7">
        <f>$L$2-SUM(D470,E470)</f>
        <v>9773601</v>
      </c>
      <c r="G470" s="7"/>
      <c r="H470" s="7">
        <f t="shared" si="23"/>
        <v>1.0230144646986072E-2</v>
      </c>
      <c r="I470" s="7"/>
    </row>
    <row r="471" spans="1:9" x14ac:dyDescent="0.25">
      <c r="A471" s="5">
        <v>470</v>
      </c>
      <c r="B471" s="6">
        <v>44367</v>
      </c>
      <c r="C471" s="7">
        <v>246</v>
      </c>
      <c r="D471" s="7">
        <f t="shared" si="25"/>
        <v>7328</v>
      </c>
      <c r="E471" s="7">
        <f t="shared" si="24"/>
        <v>218382</v>
      </c>
      <c r="F471" s="7">
        <f>$L$2-SUM(D471,E471)</f>
        <v>9778431</v>
      </c>
      <c r="G471" s="7"/>
      <c r="H471" s="7">
        <f t="shared" si="23"/>
        <v>2.3243673929169987E-2</v>
      </c>
      <c r="I471" s="7"/>
    </row>
    <row r="472" spans="1:9" x14ac:dyDescent="0.25">
      <c r="A472" s="5">
        <v>471</v>
      </c>
      <c r="B472" s="6">
        <v>44368</v>
      </c>
      <c r="C472" s="7">
        <v>887</v>
      </c>
      <c r="D472" s="7">
        <f t="shared" si="25"/>
        <v>7329</v>
      </c>
      <c r="E472" s="7">
        <f t="shared" si="24"/>
        <v>215406</v>
      </c>
      <c r="F472" s="7">
        <f>$L$2-SUM(D472,E472)</f>
        <v>9781406</v>
      </c>
      <c r="G472" s="7"/>
      <c r="H472" s="7">
        <f t="shared" si="23"/>
        <v>1.7928934198675989E-2</v>
      </c>
      <c r="I472" s="7"/>
    </row>
    <row r="473" spans="1:9" x14ac:dyDescent="0.25">
      <c r="A473" s="5">
        <v>472</v>
      </c>
      <c r="B473" s="6">
        <v>44369</v>
      </c>
      <c r="C473" s="7">
        <v>714</v>
      </c>
      <c r="D473" s="7">
        <f t="shared" si="25"/>
        <v>5099</v>
      </c>
      <c r="E473" s="7">
        <f t="shared" si="24"/>
        <v>214396</v>
      </c>
      <c r="F473" s="7">
        <f>$L$2-SUM(D473,E473)</f>
        <v>9784646</v>
      </c>
      <c r="G473" s="7"/>
      <c r="H473" s="7">
        <f t="shared" si="23"/>
        <v>1.8442508255751042E-2</v>
      </c>
      <c r="I473" s="7"/>
    </row>
    <row r="474" spans="1:9" x14ac:dyDescent="0.25">
      <c r="A474" s="5">
        <v>473</v>
      </c>
      <c r="B474" s="6">
        <v>44370</v>
      </c>
      <c r="C474" s="7">
        <v>634</v>
      </c>
      <c r="D474" s="7">
        <f t="shared" si="25"/>
        <v>4720</v>
      </c>
      <c r="E474" s="7">
        <f t="shared" si="24"/>
        <v>211703</v>
      </c>
      <c r="F474" s="7">
        <f>$L$2-SUM(D474,E474)</f>
        <v>9787718</v>
      </c>
      <c r="G474" s="7"/>
      <c r="H474" s="7">
        <f t="shared" si="23"/>
        <v>1.7505656509355087E-2</v>
      </c>
      <c r="I474" s="7"/>
    </row>
    <row r="475" spans="1:9" x14ac:dyDescent="0.25">
      <c r="A475" s="5">
        <v>474</v>
      </c>
      <c r="B475" s="6">
        <v>44371</v>
      </c>
      <c r="C475" s="7">
        <v>685</v>
      </c>
      <c r="D475" s="7">
        <f t="shared" si="25"/>
        <v>4567</v>
      </c>
      <c r="E475" s="7">
        <f t="shared" si="24"/>
        <v>208264</v>
      </c>
      <c r="F475" s="7">
        <f>$L$2-SUM(D475,E475)</f>
        <v>9791310</v>
      </c>
      <c r="G475" s="7"/>
      <c r="H475" s="7">
        <f t="shared" si="23"/>
        <v>2.0536434525410055E-2</v>
      </c>
      <c r="I475" s="7"/>
    </row>
    <row r="476" spans="1:9" x14ac:dyDescent="0.25">
      <c r="A476" s="5">
        <v>475</v>
      </c>
      <c r="B476" s="6">
        <v>44372</v>
      </c>
      <c r="C476" s="7">
        <v>674</v>
      </c>
      <c r="D476" s="7">
        <f t="shared" si="25"/>
        <v>4432</v>
      </c>
      <c r="E476" s="7">
        <f t="shared" si="24"/>
        <v>205320</v>
      </c>
      <c r="F476" s="7">
        <f>$L$2-SUM(D476,E476)</f>
        <v>9794389</v>
      </c>
      <c r="G476" s="7"/>
      <c r="H476" s="7">
        <f t="shared" si="23"/>
        <v>1.8278784336645235E-2</v>
      </c>
      <c r="I476" s="7"/>
    </row>
    <row r="477" spans="1:9" x14ac:dyDescent="0.25">
      <c r="A477" s="5">
        <v>476</v>
      </c>
      <c r="B477" s="6">
        <v>44373</v>
      </c>
      <c r="C477" s="7">
        <v>597</v>
      </c>
      <c r="D477" s="7">
        <f t="shared" si="25"/>
        <v>4437</v>
      </c>
      <c r="E477" s="7">
        <f t="shared" si="24"/>
        <v>203117</v>
      </c>
      <c r="F477" s="7">
        <f>$L$2-SUM(D477,E477)</f>
        <v>9796587</v>
      </c>
      <c r="G477" s="7"/>
      <c r="H477" s="7">
        <f t="shared" si="23"/>
        <v>1.3760541953652328E-2</v>
      </c>
      <c r="I477" s="7"/>
    </row>
    <row r="478" spans="1:9" x14ac:dyDescent="0.25">
      <c r="A478" s="5">
        <v>477</v>
      </c>
      <c r="B478" s="6">
        <v>44374</v>
      </c>
      <c r="C478" s="7">
        <v>260</v>
      </c>
      <c r="D478" s="7">
        <f t="shared" si="25"/>
        <v>4451</v>
      </c>
      <c r="E478" s="7">
        <f t="shared" si="24"/>
        <v>197460</v>
      </c>
      <c r="F478" s="7">
        <f>$L$2-SUM(D478,E478)</f>
        <v>9802230</v>
      </c>
      <c r="G478" s="7"/>
      <c r="H478" s="7">
        <f t="shared" si="23"/>
        <v>2.9894662210067861E-2</v>
      </c>
      <c r="I478" s="7"/>
    </row>
    <row r="479" spans="1:9" x14ac:dyDescent="0.25">
      <c r="A479" s="5">
        <v>478</v>
      </c>
      <c r="B479" s="6">
        <v>44375</v>
      </c>
      <c r="C479" s="7">
        <v>866</v>
      </c>
      <c r="D479" s="7">
        <f t="shared" si="25"/>
        <v>4430</v>
      </c>
      <c r="E479" s="7">
        <f t="shared" si="24"/>
        <v>193611</v>
      </c>
      <c r="F479" s="7">
        <f>$L$2-SUM(D479,E479)</f>
        <v>9806100</v>
      </c>
      <c r="G479" s="7"/>
      <c r="H479" s="7">
        <f t="shared" si="23"/>
        <v>2.4461420063942647E-2</v>
      </c>
      <c r="I479" s="7"/>
    </row>
    <row r="480" spans="1:9" x14ac:dyDescent="0.25">
      <c r="A480" s="5">
        <v>479</v>
      </c>
      <c r="B480" s="6">
        <v>44376</v>
      </c>
      <c r="C480" s="7">
        <v>265</v>
      </c>
      <c r="D480" s="7">
        <f t="shared" si="25"/>
        <v>3981</v>
      </c>
      <c r="E480" s="7">
        <f t="shared" si="24"/>
        <v>189642</v>
      </c>
      <c r="F480" s="7">
        <f>$L$2-SUM(D480,E480)</f>
        <v>9810518</v>
      </c>
      <c r="G480" s="7"/>
      <c r="H480" s="7">
        <f t="shared" si="23"/>
        <v>2.4693896921568006E-2</v>
      </c>
      <c r="I480" s="7"/>
    </row>
    <row r="481" spans="1:9" x14ac:dyDescent="0.25">
      <c r="A481" s="5">
        <v>480</v>
      </c>
      <c r="B481" s="6">
        <v>44377</v>
      </c>
      <c r="C481" s="7">
        <v>671</v>
      </c>
      <c r="D481" s="7">
        <f t="shared" si="25"/>
        <v>4018</v>
      </c>
      <c r="E481" s="7">
        <f t="shared" si="24"/>
        <v>186197</v>
      </c>
      <c r="F481" s="7">
        <f>$L$2-SUM(D481,E481)</f>
        <v>9813926</v>
      </c>
      <c r="G481" s="7"/>
      <c r="H481" s="7">
        <f t="shared" si="23"/>
        <v>2.1906905052175921E-2</v>
      </c>
      <c r="I481" s="7"/>
    </row>
    <row r="482" spans="1:9" x14ac:dyDescent="0.25">
      <c r="A482" s="5">
        <v>481</v>
      </c>
      <c r="B482" s="6">
        <v>44378</v>
      </c>
      <c r="C482" s="7">
        <v>708</v>
      </c>
      <c r="D482" s="7">
        <f t="shared" si="25"/>
        <v>4041</v>
      </c>
      <c r="E482" s="7">
        <f t="shared" si="24"/>
        <v>183057</v>
      </c>
      <c r="F482" s="7">
        <f>$L$2-SUM(D482,E482)</f>
        <v>9817043</v>
      </c>
      <c r="G482" s="7"/>
      <c r="H482" s="7">
        <f t="shared" si="23"/>
        <v>2.0895131024762779E-2</v>
      </c>
      <c r="I482" s="7"/>
    </row>
    <row r="483" spans="1:9" x14ac:dyDescent="0.25">
      <c r="A483" s="5">
        <v>482</v>
      </c>
      <c r="B483" s="6">
        <v>44379</v>
      </c>
      <c r="C483" s="7">
        <v>687</v>
      </c>
      <c r="D483" s="7">
        <f t="shared" si="25"/>
        <v>4054</v>
      </c>
      <c r="E483" s="7">
        <f t="shared" si="24"/>
        <v>179781</v>
      </c>
      <c r="F483" s="7">
        <f>$L$2-SUM(D483,E483)</f>
        <v>9820306</v>
      </c>
      <c r="G483" s="7"/>
      <c r="H483" s="7">
        <f t="shared" ref="H483:H546" si="26">C386/E483</f>
        <v>2.1971176041962165E-2</v>
      </c>
      <c r="I483" s="7"/>
    </row>
    <row r="484" spans="1:9" x14ac:dyDescent="0.25">
      <c r="A484" s="5">
        <v>483</v>
      </c>
      <c r="B484" s="6">
        <v>44380</v>
      </c>
      <c r="C484" s="7">
        <v>617</v>
      </c>
      <c r="D484" s="7">
        <f t="shared" si="25"/>
        <v>4074</v>
      </c>
      <c r="E484" s="7">
        <f t="shared" ref="E484:E547" si="27">SUM(C388:C477)</f>
        <v>178825</v>
      </c>
      <c r="F484" s="7">
        <f>$L$2-SUM(D484,E484)</f>
        <v>9821242</v>
      </c>
      <c r="G484" s="7"/>
      <c r="H484" s="7">
        <f t="shared" si="26"/>
        <v>8.6844680553613864E-3</v>
      </c>
      <c r="I484" s="7"/>
    </row>
    <row r="485" spans="1:9" x14ac:dyDescent="0.25">
      <c r="A485" s="5">
        <v>484</v>
      </c>
      <c r="B485" s="6">
        <v>44381</v>
      </c>
      <c r="C485" s="7">
        <v>180</v>
      </c>
      <c r="D485" s="7">
        <f t="shared" si="25"/>
        <v>3994</v>
      </c>
      <c r="E485" s="7">
        <f t="shared" si="27"/>
        <v>174697</v>
      </c>
      <c r="F485" s="7">
        <f>$L$2-SUM(D485,E485)</f>
        <v>9825450</v>
      </c>
      <c r="G485" s="7"/>
      <c r="H485" s="7">
        <f t="shared" si="26"/>
        <v>2.5117775348174269E-2</v>
      </c>
      <c r="I485" s="7"/>
    </row>
    <row r="486" spans="1:9" x14ac:dyDescent="0.25">
      <c r="A486" s="5">
        <v>485</v>
      </c>
      <c r="B486" s="6">
        <v>44382</v>
      </c>
      <c r="C486" s="7">
        <v>714</v>
      </c>
      <c r="D486" s="7">
        <f t="shared" si="25"/>
        <v>3842</v>
      </c>
      <c r="E486" s="7">
        <f t="shared" si="27"/>
        <v>170492</v>
      </c>
      <c r="F486" s="7">
        <f>$L$2-SUM(D486,E486)</f>
        <v>9829807</v>
      </c>
      <c r="G486" s="7"/>
      <c r="H486" s="7">
        <f t="shared" si="26"/>
        <v>2.9743331065387232E-2</v>
      </c>
      <c r="I486" s="7"/>
    </row>
    <row r="487" spans="1:9" x14ac:dyDescent="0.25">
      <c r="A487" s="5">
        <v>486</v>
      </c>
      <c r="B487" s="6">
        <v>44383</v>
      </c>
      <c r="C487" s="7">
        <v>604</v>
      </c>
      <c r="D487" s="7">
        <f t="shared" si="25"/>
        <v>4181</v>
      </c>
      <c r="E487" s="7">
        <f t="shared" si="27"/>
        <v>166534</v>
      </c>
      <c r="F487" s="7">
        <f>$L$2-SUM(D487,E487)</f>
        <v>9833426</v>
      </c>
      <c r="G487" s="7"/>
      <c r="H487" s="7">
        <f t="shared" si="26"/>
        <v>2.535818511535182E-2</v>
      </c>
      <c r="I487" s="7"/>
    </row>
    <row r="488" spans="1:9" x14ac:dyDescent="0.25">
      <c r="A488" s="5">
        <v>487</v>
      </c>
      <c r="B488" s="6">
        <v>44384</v>
      </c>
      <c r="C488" s="7">
        <v>704</v>
      </c>
      <c r="D488" s="7">
        <f t="shared" si="25"/>
        <v>4214</v>
      </c>
      <c r="E488" s="7">
        <f t="shared" si="27"/>
        <v>164348</v>
      </c>
      <c r="F488" s="7">
        <f>$L$2-SUM(D488,E488)</f>
        <v>9835579</v>
      </c>
      <c r="G488" s="7"/>
      <c r="H488" s="7">
        <f t="shared" si="26"/>
        <v>1.7383844038260276E-2</v>
      </c>
      <c r="I488" s="7"/>
    </row>
    <row r="489" spans="1:9" x14ac:dyDescent="0.25">
      <c r="A489" s="5">
        <v>488</v>
      </c>
      <c r="B489" s="6">
        <v>44385</v>
      </c>
      <c r="C489" s="7">
        <v>641</v>
      </c>
      <c r="D489" s="7">
        <f t="shared" si="25"/>
        <v>4147</v>
      </c>
      <c r="E489" s="7">
        <f t="shared" si="27"/>
        <v>163402</v>
      </c>
      <c r="F489" s="7">
        <f>$L$2-SUM(D489,E489)</f>
        <v>9836592</v>
      </c>
      <c r="G489" s="7"/>
      <c r="H489" s="7">
        <f t="shared" si="26"/>
        <v>1.0122275125151467E-2</v>
      </c>
      <c r="I489" s="7"/>
    </row>
    <row r="490" spans="1:9" x14ac:dyDescent="0.25">
      <c r="A490" s="5">
        <v>489</v>
      </c>
      <c r="B490" s="6">
        <v>44386</v>
      </c>
      <c r="C490" s="7">
        <v>603</v>
      </c>
      <c r="D490" s="7">
        <f t="shared" si="25"/>
        <v>4063</v>
      </c>
      <c r="E490" s="7">
        <f t="shared" si="27"/>
        <v>161038</v>
      </c>
      <c r="F490" s="7">
        <f>$L$2-SUM(D490,E490)</f>
        <v>9839040</v>
      </c>
      <c r="G490" s="7"/>
      <c r="H490" s="7">
        <f t="shared" si="26"/>
        <v>1.8945838870328743E-2</v>
      </c>
      <c r="I490" s="7"/>
    </row>
    <row r="491" spans="1:9" x14ac:dyDescent="0.25">
      <c r="A491" s="5">
        <v>490</v>
      </c>
      <c r="B491" s="6">
        <v>44387</v>
      </c>
      <c r="C491" s="7">
        <v>543</v>
      </c>
      <c r="D491" s="7">
        <f t="shared" si="25"/>
        <v>3989</v>
      </c>
      <c r="E491" s="7">
        <f t="shared" si="27"/>
        <v>158797</v>
      </c>
      <c r="F491" s="7">
        <f>$L$2-SUM(D491,E491)</f>
        <v>9841355</v>
      </c>
      <c r="G491" s="7"/>
      <c r="H491" s="7">
        <f t="shared" si="26"/>
        <v>1.7997821117527409E-2</v>
      </c>
      <c r="I491" s="7"/>
    </row>
    <row r="492" spans="1:9" x14ac:dyDescent="0.25">
      <c r="A492" s="5">
        <v>491</v>
      </c>
      <c r="B492" s="6">
        <v>44388</v>
      </c>
      <c r="C492" s="7">
        <v>241</v>
      </c>
      <c r="D492" s="7">
        <f t="shared" si="25"/>
        <v>4050</v>
      </c>
      <c r="E492" s="7">
        <f t="shared" si="27"/>
        <v>153974</v>
      </c>
      <c r="F492" s="7">
        <f>$L$2-SUM(D492,E492)</f>
        <v>9846117</v>
      </c>
      <c r="G492" s="7"/>
      <c r="H492" s="7">
        <f t="shared" si="26"/>
        <v>3.2492498733552415E-2</v>
      </c>
      <c r="I492" s="7"/>
    </row>
    <row r="493" spans="1:9" x14ac:dyDescent="0.25">
      <c r="A493" s="5">
        <v>492</v>
      </c>
      <c r="B493" s="6">
        <v>44389</v>
      </c>
      <c r="C493" s="7">
        <v>598</v>
      </c>
      <c r="D493" s="7">
        <f t="shared" si="25"/>
        <v>3934</v>
      </c>
      <c r="E493" s="7">
        <f t="shared" si="27"/>
        <v>150436</v>
      </c>
      <c r="F493" s="7">
        <f>$L$2-SUM(D493,E493)</f>
        <v>9849771</v>
      </c>
      <c r="G493" s="7"/>
      <c r="H493" s="7">
        <f t="shared" si="26"/>
        <v>2.8264511154244994E-2</v>
      </c>
      <c r="I493" s="7"/>
    </row>
    <row r="494" spans="1:9" x14ac:dyDescent="0.25">
      <c r="A494" s="5">
        <v>493</v>
      </c>
      <c r="B494" s="6">
        <v>44390</v>
      </c>
      <c r="C494" s="7">
        <v>591</v>
      </c>
      <c r="D494" s="7">
        <f t="shared" si="25"/>
        <v>3921</v>
      </c>
      <c r="E494" s="7">
        <f t="shared" si="27"/>
        <v>146434</v>
      </c>
      <c r="F494" s="7">
        <f>$L$2-SUM(D494,E494)</f>
        <v>9853786</v>
      </c>
      <c r="G494" s="7"/>
      <c r="H494" s="7">
        <f t="shared" si="26"/>
        <v>3.1454443640138219E-2</v>
      </c>
      <c r="I494" s="7"/>
    </row>
    <row r="495" spans="1:9" x14ac:dyDescent="0.25">
      <c r="A495" s="5">
        <v>494</v>
      </c>
      <c r="B495" s="6">
        <v>44391</v>
      </c>
      <c r="C495" s="7">
        <v>680</v>
      </c>
      <c r="D495" s="7">
        <f t="shared" si="25"/>
        <v>3897</v>
      </c>
      <c r="E495" s="7">
        <f t="shared" si="27"/>
        <v>142675</v>
      </c>
      <c r="F495" s="7">
        <f>$L$2-SUM(D495,E495)</f>
        <v>9857569</v>
      </c>
      <c r="G495" s="7"/>
      <c r="H495" s="7">
        <f t="shared" si="26"/>
        <v>3.1280883125985634E-2</v>
      </c>
      <c r="I495" s="7"/>
    </row>
    <row r="496" spans="1:9" x14ac:dyDescent="0.25">
      <c r="A496" s="5">
        <v>495</v>
      </c>
      <c r="B496" s="6">
        <v>44392</v>
      </c>
      <c r="C496" s="7">
        <v>544</v>
      </c>
      <c r="D496" s="7">
        <f t="shared" si="25"/>
        <v>3800</v>
      </c>
      <c r="E496" s="7">
        <f t="shared" si="27"/>
        <v>139484</v>
      </c>
      <c r="F496" s="7">
        <f>$L$2-SUM(D496,E496)</f>
        <v>9860857</v>
      </c>
      <c r="G496" s="7"/>
      <c r="H496" s="7">
        <f t="shared" si="26"/>
        <v>2.7472685039144275E-2</v>
      </c>
      <c r="I496" s="7"/>
    </row>
    <row r="497" spans="1:9" x14ac:dyDescent="0.25">
      <c r="A497" s="5">
        <v>496</v>
      </c>
      <c r="B497" s="6">
        <v>44393</v>
      </c>
      <c r="C497" s="7">
        <v>524</v>
      </c>
      <c r="D497" s="7">
        <f t="shared" si="25"/>
        <v>3721</v>
      </c>
      <c r="E497" s="7">
        <f t="shared" si="27"/>
        <v>136571</v>
      </c>
      <c r="F497" s="7">
        <f>$L$2-SUM(D497,E497)</f>
        <v>9863849</v>
      </c>
      <c r="G497" s="7"/>
      <c r="H497" s="7">
        <f t="shared" si="26"/>
        <v>2.5744850663757313E-2</v>
      </c>
      <c r="I497" s="7"/>
    </row>
    <row r="498" spans="1:9" x14ac:dyDescent="0.25">
      <c r="A498" s="5">
        <v>497</v>
      </c>
      <c r="B498" s="6">
        <v>44394</v>
      </c>
      <c r="C498" s="7">
        <v>463</v>
      </c>
      <c r="D498" s="7">
        <f t="shared" si="25"/>
        <v>3641</v>
      </c>
      <c r="E498" s="7">
        <f t="shared" si="27"/>
        <v>135900</v>
      </c>
      <c r="F498" s="7">
        <f>$L$2-SUM(D498,E498)</f>
        <v>9864600</v>
      </c>
      <c r="G498" s="7"/>
      <c r="H498" s="7">
        <f t="shared" si="26"/>
        <v>8.9330389992641653E-3</v>
      </c>
      <c r="I498" s="7"/>
    </row>
    <row r="499" spans="1:9" x14ac:dyDescent="0.25">
      <c r="A499" s="5">
        <v>498</v>
      </c>
      <c r="B499" s="6">
        <v>44395</v>
      </c>
      <c r="C499" s="7">
        <v>197</v>
      </c>
      <c r="D499" s="7">
        <f t="shared" si="25"/>
        <v>3597</v>
      </c>
      <c r="E499" s="7">
        <f t="shared" si="27"/>
        <v>132140</v>
      </c>
      <c r="F499" s="7">
        <f>$L$2-SUM(D499,E499)</f>
        <v>9868404</v>
      </c>
      <c r="G499" s="7"/>
      <c r="H499" s="7">
        <f t="shared" si="26"/>
        <v>3.0278492507946116E-2</v>
      </c>
      <c r="I499" s="7"/>
    </row>
    <row r="500" spans="1:9" x14ac:dyDescent="0.25">
      <c r="A500" s="5">
        <v>499</v>
      </c>
      <c r="B500" s="6">
        <v>44396</v>
      </c>
      <c r="C500" s="7">
        <v>532</v>
      </c>
      <c r="D500" s="7">
        <f t="shared" si="25"/>
        <v>3531</v>
      </c>
      <c r="E500" s="7">
        <f t="shared" si="27"/>
        <v>129060</v>
      </c>
      <c r="F500" s="7">
        <f>$L$2-SUM(D500,E500)</f>
        <v>9871550</v>
      </c>
      <c r="G500" s="7"/>
      <c r="H500" s="7">
        <f t="shared" si="26"/>
        <v>2.8498372849837285E-2</v>
      </c>
      <c r="I500" s="7"/>
    </row>
    <row r="501" spans="1:9" x14ac:dyDescent="0.25">
      <c r="A501" s="5">
        <v>500</v>
      </c>
      <c r="B501" s="6">
        <v>44397</v>
      </c>
      <c r="C501" s="7">
        <v>421</v>
      </c>
      <c r="D501" s="7">
        <f t="shared" si="25"/>
        <v>3361</v>
      </c>
      <c r="E501" s="7">
        <f t="shared" si="27"/>
        <v>126280</v>
      </c>
      <c r="F501" s="7">
        <f>$L$2-SUM(D501,E501)</f>
        <v>9874500</v>
      </c>
      <c r="G501" s="7"/>
      <c r="H501" s="7">
        <f t="shared" si="26"/>
        <v>2.6694646816598035E-2</v>
      </c>
      <c r="I501" s="7"/>
    </row>
    <row r="502" spans="1:9" x14ac:dyDescent="0.25">
      <c r="A502" s="5">
        <v>501</v>
      </c>
      <c r="B502" s="6">
        <v>44398</v>
      </c>
      <c r="C502" s="7">
        <v>447</v>
      </c>
      <c r="D502" s="7">
        <f t="shared" si="25"/>
        <v>3128</v>
      </c>
      <c r="E502" s="7">
        <f t="shared" si="27"/>
        <v>122958</v>
      </c>
      <c r="F502" s="7">
        <f>$L$2-SUM(D502,E502)</f>
        <v>9878055</v>
      </c>
      <c r="G502" s="7"/>
      <c r="H502" s="7">
        <f t="shared" si="26"/>
        <v>3.2547699214365879E-2</v>
      </c>
      <c r="I502" s="7"/>
    </row>
    <row r="503" spans="1:9" x14ac:dyDescent="0.25">
      <c r="A503" s="5">
        <v>502</v>
      </c>
      <c r="B503" s="6">
        <v>44399</v>
      </c>
      <c r="C503" s="7">
        <v>527</v>
      </c>
      <c r="D503" s="7">
        <f t="shared" si="25"/>
        <v>3111</v>
      </c>
      <c r="E503" s="7">
        <f t="shared" si="27"/>
        <v>118741</v>
      </c>
      <c r="F503" s="7">
        <f>$L$2-SUM(D503,E503)</f>
        <v>9882289</v>
      </c>
      <c r="G503" s="7"/>
      <c r="H503" s="7">
        <f t="shared" si="26"/>
        <v>4.009567040870466E-2</v>
      </c>
      <c r="I503" s="7"/>
    </row>
    <row r="504" spans="1:9" x14ac:dyDescent="0.25">
      <c r="A504" s="5">
        <v>503</v>
      </c>
      <c r="B504" s="6">
        <v>44400</v>
      </c>
      <c r="C504" s="7">
        <v>492</v>
      </c>
      <c r="D504" s="7">
        <f t="shared" si="25"/>
        <v>3079</v>
      </c>
      <c r="E504" s="7">
        <f t="shared" si="27"/>
        <v>116184</v>
      </c>
      <c r="F504" s="7">
        <f>$L$2-SUM(D504,E504)</f>
        <v>9884878</v>
      </c>
      <c r="G504" s="7"/>
      <c r="H504" s="7">
        <f t="shared" si="26"/>
        <v>2.6518281346829167E-2</v>
      </c>
      <c r="I504" s="7"/>
    </row>
    <row r="505" spans="1:9" x14ac:dyDescent="0.25">
      <c r="A505" s="5">
        <v>504</v>
      </c>
      <c r="B505" s="6">
        <v>44401</v>
      </c>
      <c r="C505" s="7">
        <v>499</v>
      </c>
      <c r="D505" s="7">
        <f t="shared" si="25"/>
        <v>3115</v>
      </c>
      <c r="E505" s="7">
        <f t="shared" si="27"/>
        <v>115508</v>
      </c>
      <c r="F505" s="7">
        <f>$L$2-SUM(D505,E505)</f>
        <v>9885518</v>
      </c>
      <c r="G505" s="7"/>
      <c r="H505" s="7">
        <f t="shared" si="26"/>
        <v>9.8607888631090483E-3</v>
      </c>
      <c r="I505" s="7"/>
    </row>
    <row r="506" spans="1:9" x14ac:dyDescent="0.25">
      <c r="A506" s="5">
        <v>505</v>
      </c>
      <c r="B506" s="6">
        <v>44402</v>
      </c>
      <c r="C506" s="7">
        <v>132</v>
      </c>
      <c r="D506" s="7">
        <f t="shared" si="25"/>
        <v>3050</v>
      </c>
      <c r="E506" s="7">
        <f t="shared" si="27"/>
        <v>112435</v>
      </c>
      <c r="F506" s="7">
        <f>$L$2-SUM(D506,E506)</f>
        <v>9888656</v>
      </c>
      <c r="G506" s="7"/>
      <c r="H506" s="7">
        <f t="shared" si="26"/>
        <v>2.9083470449593099E-2</v>
      </c>
      <c r="I506" s="7"/>
    </row>
    <row r="507" spans="1:9" x14ac:dyDescent="0.25">
      <c r="A507" s="5">
        <v>506</v>
      </c>
      <c r="B507" s="6">
        <v>44403</v>
      </c>
      <c r="C507" s="7">
        <v>481</v>
      </c>
      <c r="D507" s="7">
        <f t="shared" si="25"/>
        <v>2999</v>
      </c>
      <c r="E507" s="7">
        <f t="shared" si="27"/>
        <v>110039</v>
      </c>
      <c r="F507" s="7">
        <f>$L$2-SUM(D507,E507)</f>
        <v>9891103</v>
      </c>
      <c r="G507" s="7"/>
      <c r="H507" s="7">
        <f t="shared" si="26"/>
        <v>2.6608747807595489E-2</v>
      </c>
      <c r="I507" s="7"/>
    </row>
    <row r="508" spans="1:9" x14ac:dyDescent="0.25">
      <c r="A508" s="5">
        <v>507</v>
      </c>
      <c r="B508" s="6">
        <v>44404</v>
      </c>
      <c r="C508" s="7">
        <v>427</v>
      </c>
      <c r="D508" s="7">
        <f t="shared" si="25"/>
        <v>3005</v>
      </c>
      <c r="E508" s="7">
        <f t="shared" si="27"/>
        <v>107342</v>
      </c>
      <c r="F508" s="7">
        <f>$L$2-SUM(D508,E508)</f>
        <v>9893794</v>
      </c>
      <c r="G508" s="7"/>
      <c r="H508" s="7">
        <f t="shared" si="26"/>
        <v>2.9047344003279237E-2</v>
      </c>
      <c r="I508" s="7"/>
    </row>
    <row r="509" spans="1:9" x14ac:dyDescent="0.25">
      <c r="A509" s="5">
        <v>508</v>
      </c>
      <c r="B509" s="6">
        <v>44405</v>
      </c>
      <c r="C509" s="7">
        <v>161</v>
      </c>
      <c r="D509" s="7">
        <f t="shared" si="25"/>
        <v>2719</v>
      </c>
      <c r="E509" s="7">
        <f t="shared" si="27"/>
        <v>104331</v>
      </c>
      <c r="F509" s="7">
        <f>$L$2-SUM(D509,E509)</f>
        <v>9897091</v>
      </c>
      <c r="G509" s="7"/>
      <c r="H509" s="7">
        <f t="shared" si="26"/>
        <v>3.3144511219100746E-2</v>
      </c>
      <c r="I509" s="7"/>
    </row>
    <row r="510" spans="1:9" x14ac:dyDescent="0.25">
      <c r="A510" s="5">
        <v>509</v>
      </c>
      <c r="B510" s="6">
        <v>44406</v>
      </c>
      <c r="C510" s="7">
        <v>259</v>
      </c>
      <c r="D510" s="7">
        <f t="shared" si="25"/>
        <v>2451</v>
      </c>
      <c r="E510" s="7">
        <f t="shared" si="27"/>
        <v>101571</v>
      </c>
      <c r="F510" s="7">
        <f>$L$2-SUM(D510,E510)</f>
        <v>9900119</v>
      </c>
      <c r="G510" s="7"/>
      <c r="H510" s="7">
        <f t="shared" si="26"/>
        <v>3.2361599275383721E-2</v>
      </c>
      <c r="I510" s="7"/>
    </row>
    <row r="511" spans="1:9" x14ac:dyDescent="0.25">
      <c r="A511" s="5">
        <v>510</v>
      </c>
      <c r="B511" s="6">
        <v>44407</v>
      </c>
      <c r="C511" s="7">
        <v>570</v>
      </c>
      <c r="D511" s="7">
        <f t="shared" si="25"/>
        <v>2529</v>
      </c>
      <c r="E511" s="7">
        <f t="shared" si="27"/>
        <v>99189</v>
      </c>
      <c r="F511" s="7">
        <f>$L$2-SUM(D511,E511)</f>
        <v>9902423</v>
      </c>
      <c r="G511" s="7"/>
      <c r="H511" s="7">
        <f t="shared" si="26"/>
        <v>2.897498714575205E-2</v>
      </c>
      <c r="I511" s="7"/>
    </row>
    <row r="512" spans="1:9" x14ac:dyDescent="0.25">
      <c r="A512" s="5">
        <v>511</v>
      </c>
      <c r="B512" s="6">
        <v>44408</v>
      </c>
      <c r="C512" s="7">
        <v>480</v>
      </c>
      <c r="D512" s="7">
        <f t="shared" si="25"/>
        <v>2510</v>
      </c>
      <c r="E512" s="7">
        <f t="shared" si="27"/>
        <v>97808</v>
      </c>
      <c r="F512" s="7">
        <f>$L$2-SUM(D512,E512)</f>
        <v>9903823</v>
      </c>
      <c r="G512" s="7"/>
      <c r="H512" s="7">
        <f t="shared" si="26"/>
        <v>1.9221331588418124E-2</v>
      </c>
      <c r="I512" s="7"/>
    </row>
    <row r="513" spans="1:9" x14ac:dyDescent="0.25">
      <c r="A513" s="5">
        <v>512</v>
      </c>
      <c r="B513" s="6">
        <v>44409</v>
      </c>
      <c r="C513" s="7">
        <v>200</v>
      </c>
      <c r="D513" s="7">
        <f t="shared" si="25"/>
        <v>2578</v>
      </c>
      <c r="E513" s="7">
        <f t="shared" si="27"/>
        <v>94961</v>
      </c>
      <c r="F513" s="7">
        <f>$L$2-SUM(D513,E513)</f>
        <v>9906602</v>
      </c>
      <c r="G513" s="7"/>
      <c r="H513" s="7">
        <f t="shared" si="26"/>
        <v>3.1370773264813974E-2</v>
      </c>
      <c r="I513" s="7"/>
    </row>
    <row r="514" spans="1:9" x14ac:dyDescent="0.25">
      <c r="A514" s="5">
        <v>513</v>
      </c>
      <c r="B514" s="6">
        <v>44410</v>
      </c>
      <c r="C514" s="7">
        <v>535</v>
      </c>
      <c r="D514" s="7">
        <f t="shared" si="25"/>
        <v>2632</v>
      </c>
      <c r="E514" s="7">
        <f t="shared" si="27"/>
        <v>92525</v>
      </c>
      <c r="F514" s="7">
        <f>$L$2-SUM(D514,E514)</f>
        <v>9908984</v>
      </c>
      <c r="G514" s="7"/>
      <c r="H514" s="7">
        <f t="shared" si="26"/>
        <v>3.1526614428532829E-2</v>
      </c>
      <c r="I514" s="7"/>
    </row>
    <row r="515" spans="1:9" x14ac:dyDescent="0.25">
      <c r="A515" s="5">
        <v>514</v>
      </c>
      <c r="B515" s="6">
        <v>44411</v>
      </c>
      <c r="C515" s="7">
        <v>492</v>
      </c>
      <c r="D515" s="7">
        <f t="shared" si="25"/>
        <v>2697</v>
      </c>
      <c r="E515" s="7">
        <f t="shared" si="27"/>
        <v>90086</v>
      </c>
      <c r="F515" s="7">
        <f>$L$2-SUM(D515,E515)</f>
        <v>9911358</v>
      </c>
      <c r="G515" s="7"/>
      <c r="H515" s="7">
        <f t="shared" si="26"/>
        <v>3.1814044357613834E-2</v>
      </c>
      <c r="I515" s="7"/>
    </row>
    <row r="516" spans="1:9" x14ac:dyDescent="0.25">
      <c r="A516" s="5">
        <v>515</v>
      </c>
      <c r="B516" s="6">
        <v>44412</v>
      </c>
      <c r="C516" s="7">
        <v>459</v>
      </c>
      <c r="D516" s="7">
        <f t="shared" si="25"/>
        <v>2995</v>
      </c>
      <c r="E516" s="7">
        <f t="shared" si="27"/>
        <v>87421</v>
      </c>
      <c r="F516" s="7">
        <f>$L$2-SUM(D516,E516)</f>
        <v>9913725</v>
      </c>
      <c r="G516" s="7"/>
      <c r="H516" s="7">
        <f t="shared" si="26"/>
        <v>3.2326328914105307E-2</v>
      </c>
      <c r="I516" s="7"/>
    </row>
    <row r="517" spans="1:9" x14ac:dyDescent="0.25">
      <c r="A517" s="5">
        <v>516</v>
      </c>
      <c r="B517" s="6">
        <v>44413</v>
      </c>
      <c r="C517" s="7">
        <v>528</v>
      </c>
      <c r="D517" s="7">
        <f t="shared" si="25"/>
        <v>3264</v>
      </c>
      <c r="E517" s="7">
        <f t="shared" si="27"/>
        <v>85088</v>
      </c>
      <c r="F517" s="7">
        <f>$L$2-SUM(D517,E517)</f>
        <v>9915789</v>
      </c>
      <c r="G517" s="7"/>
      <c r="H517" s="7">
        <f t="shared" si="26"/>
        <v>3.0462579917262127E-2</v>
      </c>
      <c r="I517" s="7"/>
    </row>
    <row r="518" spans="1:9" x14ac:dyDescent="0.25">
      <c r="A518" s="5">
        <v>517</v>
      </c>
      <c r="B518" s="6">
        <v>44414</v>
      </c>
      <c r="C518" s="7">
        <v>516</v>
      </c>
      <c r="D518" s="7">
        <f t="shared" si="25"/>
        <v>3210</v>
      </c>
      <c r="E518" s="7">
        <f t="shared" si="27"/>
        <v>83747</v>
      </c>
      <c r="F518" s="7">
        <f>$L$2-SUM(D518,E518)</f>
        <v>9917184</v>
      </c>
      <c r="G518" s="7"/>
      <c r="H518" s="7">
        <f t="shared" si="26"/>
        <v>2.2818727835026927E-2</v>
      </c>
      <c r="I518" s="7"/>
    </row>
    <row r="519" spans="1:9" x14ac:dyDescent="0.25">
      <c r="A519" s="5">
        <v>518</v>
      </c>
      <c r="B519" s="6">
        <v>44415</v>
      </c>
      <c r="C519" s="7">
        <v>482</v>
      </c>
      <c r="D519" s="7">
        <f t="shared" si="25"/>
        <v>3212</v>
      </c>
      <c r="E519" s="7">
        <f t="shared" si="27"/>
        <v>82826</v>
      </c>
      <c r="F519" s="7">
        <f>$L$2-SUM(D519,E519)</f>
        <v>9918103</v>
      </c>
      <c r="G519" s="7"/>
      <c r="H519" s="7">
        <f t="shared" si="26"/>
        <v>1.6914978388428755E-2</v>
      </c>
      <c r="I519" s="7"/>
    </row>
    <row r="520" spans="1:9" x14ac:dyDescent="0.25">
      <c r="A520" s="5">
        <v>519</v>
      </c>
      <c r="B520" s="6">
        <v>44416</v>
      </c>
      <c r="C520" s="7">
        <v>165</v>
      </c>
      <c r="D520" s="7">
        <f t="shared" si="25"/>
        <v>3177</v>
      </c>
      <c r="E520" s="7">
        <f t="shared" si="27"/>
        <v>80973</v>
      </c>
      <c r="F520" s="7">
        <f>$L$2-SUM(D520,E520)</f>
        <v>9919991</v>
      </c>
      <c r="G520" s="7"/>
      <c r="H520" s="7">
        <f t="shared" si="26"/>
        <v>2.5354130389142061E-2</v>
      </c>
      <c r="I520" s="7"/>
    </row>
    <row r="521" spans="1:9" x14ac:dyDescent="0.25">
      <c r="A521" s="5">
        <v>520</v>
      </c>
      <c r="B521" s="6">
        <v>44417</v>
      </c>
      <c r="C521" s="7">
        <v>493</v>
      </c>
      <c r="D521" s="7">
        <f t="shared" ref="D521:D584" si="28">SUM(C515:C521)</f>
        <v>3135</v>
      </c>
      <c r="E521" s="7">
        <f t="shared" si="27"/>
        <v>79225</v>
      </c>
      <c r="F521" s="7">
        <f>$L$2-SUM(D521,E521)</f>
        <v>9921781</v>
      </c>
      <c r="G521" s="7"/>
      <c r="H521" s="7">
        <f t="shared" si="26"/>
        <v>2.8816661407384033E-2</v>
      </c>
      <c r="I521" s="7"/>
    </row>
    <row r="522" spans="1:9" x14ac:dyDescent="0.25">
      <c r="A522" s="5">
        <v>521</v>
      </c>
      <c r="B522" s="6">
        <v>44418</v>
      </c>
      <c r="C522" s="7">
        <v>541</v>
      </c>
      <c r="D522" s="7">
        <f t="shared" si="28"/>
        <v>3184</v>
      </c>
      <c r="E522" s="7">
        <f t="shared" si="27"/>
        <v>77281</v>
      </c>
      <c r="F522" s="7">
        <f>$L$2-SUM(D522,E522)</f>
        <v>9923676</v>
      </c>
      <c r="G522" s="7"/>
      <c r="H522" s="7">
        <f t="shared" si="26"/>
        <v>3.1521331245713692E-2</v>
      </c>
      <c r="I522" s="7"/>
    </row>
    <row r="523" spans="1:9" x14ac:dyDescent="0.25">
      <c r="A523" s="5">
        <v>522</v>
      </c>
      <c r="B523" s="6">
        <v>44419</v>
      </c>
      <c r="C523" s="7">
        <v>724</v>
      </c>
      <c r="D523" s="7">
        <f t="shared" si="28"/>
        <v>3449</v>
      </c>
      <c r="E523" s="7">
        <f t="shared" si="27"/>
        <v>75705</v>
      </c>
      <c r="F523" s="7">
        <f>$L$2-SUM(D523,E523)</f>
        <v>9924987</v>
      </c>
      <c r="G523" s="7"/>
      <c r="H523" s="7">
        <f t="shared" si="26"/>
        <v>2.6880655174691237E-2</v>
      </c>
      <c r="I523" s="7"/>
    </row>
    <row r="524" spans="1:9" x14ac:dyDescent="0.25">
      <c r="A524" s="5">
        <v>523</v>
      </c>
      <c r="B524" s="6">
        <v>44420</v>
      </c>
      <c r="C524" s="7">
        <v>455</v>
      </c>
      <c r="D524" s="7">
        <f t="shared" si="28"/>
        <v>3376</v>
      </c>
      <c r="E524" s="7">
        <f t="shared" si="27"/>
        <v>73954</v>
      </c>
      <c r="F524" s="7">
        <f>$L$2-SUM(D524,E524)</f>
        <v>9926811</v>
      </c>
      <c r="G524" s="7"/>
      <c r="H524" s="7">
        <f t="shared" si="26"/>
        <v>3.0816453471076616E-2</v>
      </c>
      <c r="I524" s="7"/>
    </row>
    <row r="525" spans="1:9" x14ac:dyDescent="0.25">
      <c r="A525" s="5">
        <v>524</v>
      </c>
      <c r="B525" s="6">
        <v>44421</v>
      </c>
      <c r="C525" s="7">
        <v>503</v>
      </c>
      <c r="D525" s="7">
        <f t="shared" si="28"/>
        <v>3363</v>
      </c>
      <c r="E525" s="7">
        <f t="shared" si="27"/>
        <v>72886</v>
      </c>
      <c r="F525" s="7">
        <f>$L$2-SUM(D525,E525)</f>
        <v>9927892</v>
      </c>
      <c r="G525" s="7"/>
      <c r="H525" s="7">
        <f t="shared" si="26"/>
        <v>2.1732568668880171E-2</v>
      </c>
      <c r="I525" s="7"/>
    </row>
    <row r="526" spans="1:9" x14ac:dyDescent="0.25">
      <c r="A526" s="5">
        <v>525</v>
      </c>
      <c r="B526" s="6">
        <v>44422</v>
      </c>
      <c r="C526" s="7">
        <v>366</v>
      </c>
      <c r="D526" s="7">
        <f t="shared" si="28"/>
        <v>3247</v>
      </c>
      <c r="E526" s="7">
        <f t="shared" si="27"/>
        <v>72708</v>
      </c>
      <c r="F526" s="7">
        <f>$L$2-SUM(D526,E526)</f>
        <v>9928186</v>
      </c>
      <c r="G526" s="7"/>
      <c r="H526" s="7">
        <f t="shared" si="26"/>
        <v>9.0774055124608014E-3</v>
      </c>
      <c r="I526" s="7"/>
    </row>
    <row r="527" spans="1:9" x14ac:dyDescent="0.25">
      <c r="A527" s="5">
        <v>526</v>
      </c>
      <c r="B527" s="6">
        <v>44423</v>
      </c>
      <c r="C527" s="7">
        <v>149</v>
      </c>
      <c r="D527" s="7">
        <f t="shared" si="28"/>
        <v>3231</v>
      </c>
      <c r="E527" s="7">
        <f t="shared" si="27"/>
        <v>70470</v>
      </c>
      <c r="F527" s="7">
        <f>$L$2-SUM(D527,E527)</f>
        <v>9930440</v>
      </c>
      <c r="G527" s="7"/>
      <c r="H527" s="7">
        <f t="shared" si="26"/>
        <v>3.409961685823755E-2</v>
      </c>
      <c r="I527" s="7"/>
    </row>
    <row r="528" spans="1:9" x14ac:dyDescent="0.25">
      <c r="A528" s="5">
        <v>527</v>
      </c>
      <c r="B528" s="6">
        <v>44424</v>
      </c>
      <c r="C528" s="7">
        <v>600</v>
      </c>
      <c r="D528" s="7">
        <f t="shared" si="28"/>
        <v>3338</v>
      </c>
      <c r="E528" s="7">
        <f t="shared" si="27"/>
        <v>68893</v>
      </c>
      <c r="F528" s="7">
        <f>$L$2-SUM(D528,E528)</f>
        <v>9931910</v>
      </c>
      <c r="G528" s="7"/>
      <c r="H528" s="7">
        <f t="shared" si="26"/>
        <v>3.0046593993584253E-2</v>
      </c>
      <c r="I528" s="7"/>
    </row>
    <row r="529" spans="1:9" x14ac:dyDescent="0.25">
      <c r="A529" s="5">
        <v>528</v>
      </c>
      <c r="B529" s="6">
        <v>44425</v>
      </c>
      <c r="C529" s="7">
        <v>395</v>
      </c>
      <c r="D529" s="7">
        <f t="shared" si="28"/>
        <v>3192</v>
      </c>
      <c r="E529" s="7">
        <f t="shared" si="27"/>
        <v>67433</v>
      </c>
      <c r="F529" s="7">
        <f>$L$2-SUM(D529,E529)</f>
        <v>9933516</v>
      </c>
      <c r="G529" s="7"/>
      <c r="H529" s="7">
        <f t="shared" si="26"/>
        <v>2.9673898536324943E-2</v>
      </c>
      <c r="I529" s="7"/>
    </row>
    <row r="530" spans="1:9" x14ac:dyDescent="0.25">
      <c r="A530" s="5">
        <v>529</v>
      </c>
      <c r="B530" s="6">
        <v>44426</v>
      </c>
      <c r="C530" s="7">
        <v>397</v>
      </c>
      <c r="D530" s="7">
        <f t="shared" si="28"/>
        <v>2865</v>
      </c>
      <c r="E530" s="7">
        <f t="shared" si="27"/>
        <v>66148</v>
      </c>
      <c r="F530" s="7">
        <f>$L$2-SUM(D530,E530)</f>
        <v>9935128</v>
      </c>
      <c r="G530" s="7"/>
      <c r="H530" s="7">
        <f t="shared" si="26"/>
        <v>3.0371288625506442E-2</v>
      </c>
      <c r="I530" s="7"/>
    </row>
    <row r="531" spans="1:9" x14ac:dyDescent="0.25">
      <c r="A531" s="5">
        <v>530</v>
      </c>
      <c r="B531" s="6">
        <v>44427</v>
      </c>
      <c r="C531" s="7">
        <v>464</v>
      </c>
      <c r="D531" s="7">
        <f t="shared" si="28"/>
        <v>2874</v>
      </c>
      <c r="E531" s="7">
        <f t="shared" si="27"/>
        <v>64900</v>
      </c>
      <c r="F531" s="7">
        <f>$L$2-SUM(D531,E531)</f>
        <v>9936367</v>
      </c>
      <c r="G531" s="7"/>
      <c r="H531" s="7">
        <f t="shared" si="26"/>
        <v>2.6240369799691833E-2</v>
      </c>
      <c r="I531" s="7"/>
    </row>
    <row r="532" spans="1:9" x14ac:dyDescent="0.25">
      <c r="A532" s="5">
        <v>531</v>
      </c>
      <c r="B532" s="6">
        <v>44428</v>
      </c>
      <c r="C532" s="7">
        <v>359</v>
      </c>
      <c r="D532" s="7">
        <f t="shared" si="28"/>
        <v>2730</v>
      </c>
      <c r="E532" s="7">
        <f t="shared" si="27"/>
        <v>64001</v>
      </c>
      <c r="F532" s="7">
        <f>$L$2-SUM(D532,E532)</f>
        <v>9937410</v>
      </c>
      <c r="G532" s="7"/>
      <c r="H532" s="7">
        <f t="shared" si="26"/>
        <v>2.1905907720191874E-2</v>
      </c>
      <c r="I532" s="7"/>
    </row>
    <row r="533" spans="1:9" x14ac:dyDescent="0.25">
      <c r="A533" s="5">
        <v>532</v>
      </c>
      <c r="B533" s="6">
        <v>44429</v>
      </c>
      <c r="C533" s="7">
        <v>291</v>
      </c>
      <c r="D533" s="7">
        <f t="shared" si="28"/>
        <v>2655</v>
      </c>
      <c r="E533" s="7">
        <f t="shared" si="27"/>
        <v>63633</v>
      </c>
      <c r="F533" s="7">
        <f>$L$2-SUM(D533,E533)</f>
        <v>9937853</v>
      </c>
      <c r="G533" s="7"/>
      <c r="H533" s="7">
        <f t="shared" si="26"/>
        <v>1.1534895415900555E-2</v>
      </c>
      <c r="I533" s="7"/>
    </row>
    <row r="534" spans="1:9" x14ac:dyDescent="0.25">
      <c r="A534" s="5">
        <v>533</v>
      </c>
      <c r="B534" s="6">
        <v>44430</v>
      </c>
      <c r="C534" s="7">
        <v>151</v>
      </c>
      <c r="D534" s="7">
        <f t="shared" si="28"/>
        <v>2657</v>
      </c>
      <c r="E534" s="7">
        <f t="shared" si="27"/>
        <v>62190</v>
      </c>
      <c r="F534" s="7">
        <f>$L$2-SUM(D534,E534)</f>
        <v>9939294</v>
      </c>
      <c r="G534" s="7"/>
      <c r="H534" s="7">
        <f t="shared" si="26"/>
        <v>2.5598970895642385E-2</v>
      </c>
      <c r="I534" s="7"/>
    </row>
    <row r="535" spans="1:9" x14ac:dyDescent="0.25">
      <c r="A535" s="5">
        <v>534</v>
      </c>
      <c r="B535" s="6">
        <v>44431</v>
      </c>
      <c r="C535" s="7">
        <v>499</v>
      </c>
      <c r="D535" s="7">
        <f t="shared" si="28"/>
        <v>2556</v>
      </c>
      <c r="E535" s="7">
        <f t="shared" si="27"/>
        <v>61142</v>
      </c>
      <c r="F535" s="7">
        <f>$L$2-SUM(D535,E535)</f>
        <v>9940443</v>
      </c>
      <c r="G535" s="7"/>
      <c r="H535" s="7">
        <f t="shared" si="26"/>
        <v>2.6953648882928265E-2</v>
      </c>
      <c r="I535" s="7"/>
    </row>
    <row r="536" spans="1:9" x14ac:dyDescent="0.25">
      <c r="A536" s="5">
        <v>535</v>
      </c>
      <c r="B536" s="6">
        <v>44432</v>
      </c>
      <c r="C536" s="7">
        <v>395</v>
      </c>
      <c r="D536" s="7">
        <f t="shared" si="28"/>
        <v>2556</v>
      </c>
      <c r="E536" s="7">
        <f t="shared" si="27"/>
        <v>60106</v>
      </c>
      <c r="F536" s="7">
        <f>$L$2-SUM(D536,E536)</f>
        <v>9941479</v>
      </c>
      <c r="G536" s="7"/>
      <c r="H536" s="7">
        <f t="shared" si="26"/>
        <v>2.3807939307223903E-2</v>
      </c>
      <c r="I536" s="7"/>
    </row>
    <row r="537" spans="1:9" x14ac:dyDescent="0.25">
      <c r="A537" s="5">
        <v>536</v>
      </c>
      <c r="B537" s="6">
        <v>44433</v>
      </c>
      <c r="C537" s="7">
        <v>397</v>
      </c>
      <c r="D537" s="7">
        <f t="shared" si="28"/>
        <v>2556</v>
      </c>
      <c r="E537" s="7">
        <f t="shared" si="27"/>
        <v>58949</v>
      </c>
      <c r="F537" s="7">
        <f>$L$2-SUM(D537,E537)</f>
        <v>9942636</v>
      </c>
      <c r="G537" s="7"/>
      <c r="H537" s="7">
        <f t="shared" si="26"/>
        <v>2.6361770343856554E-2</v>
      </c>
      <c r="I537" s="7"/>
    </row>
    <row r="538" spans="1:9" x14ac:dyDescent="0.25">
      <c r="A538" s="5">
        <v>537</v>
      </c>
      <c r="B538" s="6">
        <v>44434</v>
      </c>
      <c r="C538" s="7">
        <v>341</v>
      </c>
      <c r="D538" s="7">
        <f t="shared" si="28"/>
        <v>2433</v>
      </c>
      <c r="E538" s="7">
        <f t="shared" si="27"/>
        <v>58053</v>
      </c>
      <c r="F538" s="7">
        <f>$L$2-SUM(D538,E538)</f>
        <v>9943655</v>
      </c>
      <c r="G538" s="7"/>
      <c r="H538" s="7">
        <f t="shared" si="26"/>
        <v>2.3426868551151534E-2</v>
      </c>
      <c r="I538" s="7"/>
    </row>
    <row r="539" spans="1:9" x14ac:dyDescent="0.25">
      <c r="A539" s="5">
        <v>538</v>
      </c>
      <c r="B539" s="6">
        <v>44435</v>
      </c>
      <c r="C539" s="7">
        <v>439</v>
      </c>
      <c r="D539" s="7">
        <f t="shared" si="28"/>
        <v>2513</v>
      </c>
      <c r="E539" s="7">
        <f t="shared" si="27"/>
        <v>57235</v>
      </c>
      <c r="F539" s="7">
        <f>$L$2-SUM(D539,E539)</f>
        <v>9944393</v>
      </c>
      <c r="G539" s="7"/>
      <c r="H539" s="7">
        <f t="shared" si="26"/>
        <v>2.0564340001747183E-2</v>
      </c>
      <c r="I539" s="7"/>
    </row>
    <row r="540" spans="1:9" x14ac:dyDescent="0.25">
      <c r="A540" s="5">
        <v>539</v>
      </c>
      <c r="B540" s="6">
        <v>44436</v>
      </c>
      <c r="C540" s="7">
        <v>312</v>
      </c>
      <c r="D540" s="7">
        <f t="shared" si="28"/>
        <v>2534</v>
      </c>
      <c r="E540" s="7">
        <f t="shared" si="27"/>
        <v>57101</v>
      </c>
      <c r="F540" s="7">
        <f>$L$2-SUM(D540,E540)</f>
        <v>9944506</v>
      </c>
      <c r="G540" s="7"/>
      <c r="H540" s="7">
        <f t="shared" si="26"/>
        <v>7.4429519623123936E-3</v>
      </c>
      <c r="I540" s="7"/>
    </row>
    <row r="541" spans="1:9" x14ac:dyDescent="0.25">
      <c r="A541" s="5">
        <v>540</v>
      </c>
      <c r="B541" s="6">
        <v>44437</v>
      </c>
      <c r="C541" s="7">
        <v>148</v>
      </c>
      <c r="D541" s="7">
        <f t="shared" si="28"/>
        <v>2531</v>
      </c>
      <c r="E541" s="7">
        <f t="shared" si="27"/>
        <v>55900</v>
      </c>
      <c r="F541" s="7">
        <f>$L$2-SUM(D541,E541)</f>
        <v>9945710</v>
      </c>
      <c r="G541" s="7"/>
      <c r="H541" s="7">
        <f t="shared" si="26"/>
        <v>2.4186046511627906E-2</v>
      </c>
      <c r="I541" s="7"/>
    </row>
    <row r="542" spans="1:9" x14ac:dyDescent="0.25">
      <c r="A542" s="5">
        <v>541</v>
      </c>
      <c r="B542" s="6">
        <v>44438</v>
      </c>
      <c r="C542" s="7">
        <v>167</v>
      </c>
      <c r="D542" s="7">
        <f t="shared" si="28"/>
        <v>2199</v>
      </c>
      <c r="E542" s="7">
        <f t="shared" si="27"/>
        <v>54809</v>
      </c>
      <c r="F542" s="7">
        <f>$L$2-SUM(D542,E542)</f>
        <v>9947133</v>
      </c>
      <c r="G542" s="7"/>
      <c r="H542" s="7">
        <f t="shared" si="26"/>
        <v>2.9009834151325513E-2</v>
      </c>
      <c r="I542" s="7"/>
    </row>
    <row r="543" spans="1:9" x14ac:dyDescent="0.25">
      <c r="A543" s="5">
        <v>542</v>
      </c>
      <c r="B543" s="6">
        <v>44439</v>
      </c>
      <c r="C543" s="7">
        <v>390</v>
      </c>
      <c r="D543" s="7">
        <f t="shared" si="28"/>
        <v>2194</v>
      </c>
      <c r="E543" s="7">
        <f t="shared" si="27"/>
        <v>53882</v>
      </c>
      <c r="F543" s="7">
        <f>$L$2-SUM(D543,E543)</f>
        <v>9948065</v>
      </c>
      <c r="G543" s="7"/>
      <c r="H543" s="7">
        <f t="shared" si="26"/>
        <v>2.4535095208047215E-2</v>
      </c>
      <c r="I543" s="7"/>
    </row>
    <row r="544" spans="1:9" x14ac:dyDescent="0.25">
      <c r="A544" s="5">
        <v>543</v>
      </c>
      <c r="B544" s="6">
        <v>44440</v>
      </c>
      <c r="C544" s="7">
        <v>374</v>
      </c>
      <c r="D544" s="7">
        <f t="shared" si="28"/>
        <v>2171</v>
      </c>
      <c r="E544" s="7">
        <f t="shared" si="27"/>
        <v>53183</v>
      </c>
      <c r="F544" s="7">
        <f>$L$2-SUM(D544,E544)</f>
        <v>9948787</v>
      </c>
      <c r="G544" s="7"/>
      <c r="H544" s="7">
        <f t="shared" si="26"/>
        <v>2.0608089051012541E-2</v>
      </c>
      <c r="I544" s="7"/>
    </row>
    <row r="545" spans="1:9" x14ac:dyDescent="0.25">
      <c r="A545" s="5">
        <v>544</v>
      </c>
      <c r="B545" s="6">
        <v>44441</v>
      </c>
      <c r="C545" s="7">
        <v>356</v>
      </c>
      <c r="D545" s="7">
        <f t="shared" si="28"/>
        <v>2186</v>
      </c>
      <c r="E545" s="7">
        <f t="shared" si="27"/>
        <v>52487</v>
      </c>
      <c r="F545" s="7">
        <f>$L$2-SUM(D545,E545)</f>
        <v>9949468</v>
      </c>
      <c r="G545" s="7"/>
      <c r="H545" s="7">
        <f t="shared" si="26"/>
        <v>1.9757273229561605E-2</v>
      </c>
      <c r="I545" s="7"/>
    </row>
    <row r="546" spans="1:9" x14ac:dyDescent="0.25">
      <c r="A546" s="5">
        <v>545</v>
      </c>
      <c r="B546" s="6">
        <v>44442</v>
      </c>
      <c r="C546" s="7">
        <v>376</v>
      </c>
      <c r="D546" s="7">
        <f t="shared" si="28"/>
        <v>2123</v>
      </c>
      <c r="E546" s="7">
        <f t="shared" si="27"/>
        <v>51992</v>
      </c>
      <c r="F546" s="7">
        <f>$L$2-SUM(D546,E546)</f>
        <v>9950026</v>
      </c>
      <c r="G546" s="7"/>
      <c r="H546" s="7">
        <f t="shared" si="26"/>
        <v>1.7964302200338515E-2</v>
      </c>
      <c r="I546" s="7"/>
    </row>
    <row r="547" spans="1:9" x14ac:dyDescent="0.25">
      <c r="A547" s="5">
        <v>546</v>
      </c>
      <c r="B547" s="6">
        <v>44443</v>
      </c>
      <c r="C547" s="7">
        <v>370</v>
      </c>
      <c r="D547" s="7">
        <f t="shared" si="28"/>
        <v>2181</v>
      </c>
      <c r="E547" s="7">
        <f t="shared" si="27"/>
        <v>51945</v>
      </c>
      <c r="F547" s="7">
        <f>$L$2-SUM(D547,E547)</f>
        <v>9950015</v>
      </c>
      <c r="G547" s="7"/>
      <c r="H547" s="7">
        <f t="shared" ref="H547:H610" si="29">C450/E547</f>
        <v>6.911156030416787E-3</v>
      </c>
      <c r="I547" s="7"/>
    </row>
    <row r="548" spans="1:9" x14ac:dyDescent="0.25">
      <c r="A548" s="5">
        <v>547</v>
      </c>
      <c r="B548" s="6">
        <v>44444</v>
      </c>
      <c r="C548" s="7">
        <v>182</v>
      </c>
      <c r="D548" s="7">
        <f t="shared" si="28"/>
        <v>2215</v>
      </c>
      <c r="E548" s="7">
        <f t="shared" ref="E548:E611" si="30">SUM(C452:C541)</f>
        <v>51011</v>
      </c>
      <c r="F548" s="7">
        <f>$L$2-SUM(D548,E548)</f>
        <v>9950915</v>
      </c>
      <c r="G548" s="7"/>
      <c r="H548" s="7">
        <f t="shared" si="29"/>
        <v>2.1211111328929055E-2</v>
      </c>
      <c r="I548" s="7"/>
    </row>
    <row r="549" spans="1:9" x14ac:dyDescent="0.25">
      <c r="A549" s="5">
        <v>548</v>
      </c>
      <c r="B549" s="6">
        <v>44445</v>
      </c>
      <c r="C549" s="7">
        <v>374</v>
      </c>
      <c r="D549" s="7">
        <f t="shared" si="28"/>
        <v>2422</v>
      </c>
      <c r="E549" s="7">
        <f t="shared" si="30"/>
        <v>50133</v>
      </c>
      <c r="F549" s="7">
        <f>$L$2-SUM(D549,E549)</f>
        <v>9951586</v>
      </c>
      <c r="G549" s="7"/>
      <c r="H549" s="7">
        <f t="shared" si="29"/>
        <v>2.0844553487722659E-2</v>
      </c>
      <c r="I549" s="7"/>
    </row>
    <row r="550" spans="1:9" x14ac:dyDescent="0.25">
      <c r="A550" s="5">
        <v>549</v>
      </c>
      <c r="B550" s="6">
        <v>44446</v>
      </c>
      <c r="C550" s="7">
        <v>362</v>
      </c>
      <c r="D550" s="7">
        <f t="shared" si="28"/>
        <v>2394</v>
      </c>
      <c r="E550" s="7">
        <f t="shared" si="30"/>
        <v>49435</v>
      </c>
      <c r="F550" s="7">
        <f>$L$2-SUM(D550,E550)</f>
        <v>9952312</v>
      </c>
      <c r="G550" s="7"/>
      <c r="H550" s="7">
        <f t="shared" si="29"/>
        <v>2.2008698290684737E-2</v>
      </c>
      <c r="I550" s="7"/>
    </row>
    <row r="551" spans="1:9" x14ac:dyDescent="0.25">
      <c r="A551" s="5">
        <v>550</v>
      </c>
      <c r="B551" s="6">
        <v>44447</v>
      </c>
      <c r="C551" s="7">
        <v>333</v>
      </c>
      <c r="D551" s="7">
        <f t="shared" si="28"/>
        <v>2353</v>
      </c>
      <c r="E551" s="7">
        <f t="shared" si="30"/>
        <v>48893</v>
      </c>
      <c r="F551" s="7">
        <f>$L$2-SUM(D551,E551)</f>
        <v>9952895</v>
      </c>
      <c r="G551" s="7"/>
      <c r="H551" s="7">
        <f t="shared" si="29"/>
        <v>1.8734788210991348E-2</v>
      </c>
      <c r="I551" s="7"/>
    </row>
    <row r="552" spans="1:9" x14ac:dyDescent="0.25">
      <c r="A552" s="5">
        <v>551</v>
      </c>
      <c r="B552" s="6">
        <v>44448</v>
      </c>
      <c r="C552" s="7">
        <v>377</v>
      </c>
      <c r="D552" s="7">
        <f t="shared" si="28"/>
        <v>2374</v>
      </c>
      <c r="E552" s="7">
        <f t="shared" si="30"/>
        <v>48213</v>
      </c>
      <c r="F552" s="7">
        <f>$L$2-SUM(D552,E552)</f>
        <v>9953554</v>
      </c>
      <c r="G552" s="7"/>
      <c r="H552" s="7">
        <f t="shared" si="29"/>
        <v>2.1487980420218614E-2</v>
      </c>
      <c r="I552" s="7"/>
    </row>
    <row r="553" spans="1:9" x14ac:dyDescent="0.25">
      <c r="A553" s="5">
        <v>552</v>
      </c>
      <c r="B553" s="6">
        <v>44449</v>
      </c>
      <c r="C553" s="7">
        <v>362</v>
      </c>
      <c r="D553" s="7">
        <f t="shared" si="28"/>
        <v>2360</v>
      </c>
      <c r="E553" s="7">
        <f t="shared" si="30"/>
        <v>47743</v>
      </c>
      <c r="F553" s="7">
        <f>$L$2-SUM(D553,E553)</f>
        <v>9954038</v>
      </c>
      <c r="G553" s="7"/>
      <c r="H553" s="7">
        <f t="shared" si="29"/>
        <v>1.7719875164945647E-2</v>
      </c>
      <c r="I553" s="7"/>
    </row>
    <row r="554" spans="1:9" x14ac:dyDescent="0.25">
      <c r="A554" s="5">
        <v>553</v>
      </c>
      <c r="B554" s="6">
        <v>44450</v>
      </c>
      <c r="C554" s="7">
        <v>314</v>
      </c>
      <c r="D554" s="7">
        <f t="shared" si="28"/>
        <v>2304</v>
      </c>
      <c r="E554" s="7">
        <f t="shared" si="30"/>
        <v>47804</v>
      </c>
      <c r="F554" s="7">
        <f>$L$2-SUM(D554,E554)</f>
        <v>9954033</v>
      </c>
      <c r="G554" s="7"/>
      <c r="H554" s="7">
        <f t="shared" si="29"/>
        <v>6.4638942347920673E-3</v>
      </c>
      <c r="I554" s="7"/>
    </row>
    <row r="555" spans="1:9" x14ac:dyDescent="0.25">
      <c r="A555" s="5">
        <v>554</v>
      </c>
      <c r="B555" s="6">
        <v>44451</v>
      </c>
      <c r="C555" s="7">
        <v>152</v>
      </c>
      <c r="D555" s="7">
        <f t="shared" si="28"/>
        <v>2274</v>
      </c>
      <c r="E555" s="7">
        <f t="shared" si="30"/>
        <v>47030</v>
      </c>
      <c r="F555" s="7">
        <f>$L$2-SUM(D555,E555)</f>
        <v>9954837</v>
      </c>
      <c r="G555" s="7"/>
      <c r="H555" s="7">
        <f t="shared" si="29"/>
        <v>2.0327450563470125E-2</v>
      </c>
      <c r="I555" s="7"/>
    </row>
    <row r="556" spans="1:9" x14ac:dyDescent="0.25">
      <c r="A556" s="5">
        <v>555</v>
      </c>
      <c r="B556" s="6">
        <v>44452</v>
      </c>
      <c r="C556" s="7">
        <v>442</v>
      </c>
      <c r="D556" s="7">
        <f t="shared" si="28"/>
        <v>2342</v>
      </c>
      <c r="E556" s="7">
        <f t="shared" si="30"/>
        <v>46622</v>
      </c>
      <c r="F556" s="7">
        <f>$L$2-SUM(D556,E556)</f>
        <v>9955177</v>
      </c>
      <c r="G556" s="7"/>
      <c r="H556" s="7">
        <f t="shared" si="29"/>
        <v>1.6773197203037191E-2</v>
      </c>
      <c r="I556" s="7"/>
    </row>
    <row r="557" spans="1:9" x14ac:dyDescent="0.25">
      <c r="A557" s="5">
        <v>556</v>
      </c>
      <c r="B557" s="6">
        <v>44453</v>
      </c>
      <c r="C557" s="7">
        <v>366</v>
      </c>
      <c r="D557" s="7">
        <f t="shared" si="28"/>
        <v>2346</v>
      </c>
      <c r="E557" s="7">
        <f t="shared" si="30"/>
        <v>46087</v>
      </c>
      <c r="F557" s="7">
        <f>$L$2-SUM(D557,E557)</f>
        <v>9955708</v>
      </c>
      <c r="G557" s="7"/>
      <c r="H557" s="7">
        <f t="shared" si="29"/>
        <v>1.9463189185670578E-2</v>
      </c>
      <c r="I557" s="7"/>
    </row>
    <row r="558" spans="1:9" x14ac:dyDescent="0.25">
      <c r="A558" s="5">
        <v>557</v>
      </c>
      <c r="B558" s="6">
        <v>44454</v>
      </c>
      <c r="C558" s="7">
        <v>538</v>
      </c>
      <c r="D558" s="7">
        <f t="shared" si="28"/>
        <v>2551</v>
      </c>
      <c r="E558" s="7">
        <f t="shared" si="30"/>
        <v>45728</v>
      </c>
      <c r="F558" s="7">
        <f>$L$2-SUM(D558,E558)</f>
        <v>9955862</v>
      </c>
      <c r="G558" s="7"/>
      <c r="H558" s="7">
        <f t="shared" si="29"/>
        <v>1.5132960111966409E-2</v>
      </c>
      <c r="I558" s="7"/>
    </row>
    <row r="559" spans="1:9" x14ac:dyDescent="0.25">
      <c r="A559" s="5">
        <v>558</v>
      </c>
      <c r="B559" s="6">
        <v>44455</v>
      </c>
      <c r="C559" s="7">
        <v>348</v>
      </c>
      <c r="D559" s="7">
        <f t="shared" si="28"/>
        <v>2522</v>
      </c>
      <c r="E559" s="7">
        <f t="shared" si="30"/>
        <v>45309</v>
      </c>
      <c r="F559" s="7">
        <f>$L$2-SUM(D559,E559)</f>
        <v>9956310</v>
      </c>
      <c r="G559" s="7"/>
      <c r="H559" s="7">
        <f t="shared" si="29"/>
        <v>1.7568253547860249E-2</v>
      </c>
      <c r="I559" s="7"/>
    </row>
    <row r="560" spans="1:9" x14ac:dyDescent="0.25">
      <c r="A560" s="5">
        <v>559</v>
      </c>
      <c r="B560" s="6">
        <v>44456</v>
      </c>
      <c r="C560" s="7">
        <v>376</v>
      </c>
      <c r="D560" s="7">
        <f t="shared" si="28"/>
        <v>2536</v>
      </c>
      <c r="E560" s="7">
        <f t="shared" si="30"/>
        <v>44961</v>
      </c>
      <c r="F560" s="7">
        <f>$L$2-SUM(D560,E560)</f>
        <v>9956644</v>
      </c>
      <c r="G560" s="7"/>
      <c r="H560" s="7">
        <f t="shared" si="29"/>
        <v>1.5791463712995706E-2</v>
      </c>
      <c r="I560" s="7"/>
    </row>
    <row r="561" spans="1:9" x14ac:dyDescent="0.25">
      <c r="A561" s="5">
        <v>560</v>
      </c>
      <c r="B561" s="6">
        <v>44457</v>
      </c>
      <c r="C561" s="7">
        <v>357</v>
      </c>
      <c r="D561" s="7">
        <f t="shared" si="28"/>
        <v>2579</v>
      </c>
      <c r="E561" s="7">
        <f t="shared" si="30"/>
        <v>44981</v>
      </c>
      <c r="F561" s="7">
        <f>$L$2-SUM(D561,E561)</f>
        <v>9956581</v>
      </c>
      <c r="G561" s="7"/>
      <c r="H561" s="7">
        <f t="shared" si="29"/>
        <v>6.5360930170516437E-3</v>
      </c>
      <c r="I561" s="7"/>
    </row>
    <row r="562" spans="1:9" x14ac:dyDescent="0.25">
      <c r="A562" s="5">
        <v>561</v>
      </c>
      <c r="B562" s="6">
        <v>44458</v>
      </c>
      <c r="C562" s="7">
        <v>141</v>
      </c>
      <c r="D562" s="7">
        <f t="shared" si="28"/>
        <v>2568</v>
      </c>
      <c r="E562" s="7">
        <f t="shared" si="30"/>
        <v>44247</v>
      </c>
      <c r="F562" s="7">
        <f>$L$2-SUM(D562,E562)</f>
        <v>9957326</v>
      </c>
      <c r="G562" s="7"/>
      <c r="H562" s="7">
        <f t="shared" si="29"/>
        <v>2.0023956426424391E-2</v>
      </c>
      <c r="I562" s="7"/>
    </row>
    <row r="563" spans="1:9" x14ac:dyDescent="0.25">
      <c r="A563" s="5">
        <v>562</v>
      </c>
      <c r="B563" s="6">
        <v>44459</v>
      </c>
      <c r="C563" s="7">
        <v>416</v>
      </c>
      <c r="D563" s="7">
        <f t="shared" si="28"/>
        <v>2542</v>
      </c>
      <c r="E563" s="7">
        <f t="shared" si="30"/>
        <v>41745</v>
      </c>
      <c r="F563" s="7">
        <f>$L$2-SUM(D563,E563)</f>
        <v>9959854</v>
      </c>
      <c r="G563" s="7"/>
      <c r="H563" s="7">
        <f t="shared" si="29"/>
        <v>7.0523415977961426E-2</v>
      </c>
      <c r="I563" s="7"/>
    </row>
    <row r="564" spans="1:9" x14ac:dyDescent="0.25">
      <c r="A564" s="5">
        <v>563</v>
      </c>
      <c r="B564" s="6">
        <v>44460</v>
      </c>
      <c r="C564" s="7">
        <v>389</v>
      </c>
      <c r="D564" s="7">
        <f t="shared" si="28"/>
        <v>2565</v>
      </c>
      <c r="E564" s="7">
        <f t="shared" si="30"/>
        <v>41098</v>
      </c>
      <c r="F564" s="7">
        <f>$L$2-SUM(D564,E564)</f>
        <v>9960478</v>
      </c>
      <c r="G564" s="7"/>
      <c r="H564" s="7">
        <f t="shared" si="29"/>
        <v>2.4648401382062389E-2</v>
      </c>
      <c r="I564" s="7"/>
    </row>
    <row r="565" spans="1:9" x14ac:dyDescent="0.25">
      <c r="A565" s="5">
        <v>564</v>
      </c>
      <c r="B565" s="6">
        <v>44461</v>
      </c>
      <c r="C565" s="7">
        <v>515</v>
      </c>
      <c r="D565" s="7">
        <f t="shared" si="28"/>
        <v>2542</v>
      </c>
      <c r="E565" s="7">
        <f t="shared" si="30"/>
        <v>40798</v>
      </c>
      <c r="F565" s="7">
        <f>$L$2-SUM(D565,E565)</f>
        <v>9960801</v>
      </c>
      <c r="G565" s="7"/>
      <c r="H565" s="7">
        <f t="shared" si="29"/>
        <v>2.0540222559929409E-2</v>
      </c>
      <c r="I565" s="7"/>
    </row>
    <row r="566" spans="1:9" x14ac:dyDescent="0.25">
      <c r="A566" s="5">
        <v>565</v>
      </c>
      <c r="B566" s="6">
        <v>44462</v>
      </c>
      <c r="C566" s="7">
        <v>367</v>
      </c>
      <c r="D566" s="7">
        <f t="shared" si="28"/>
        <v>2561</v>
      </c>
      <c r="E566" s="7">
        <f t="shared" si="30"/>
        <v>40337</v>
      </c>
      <c r="F566" s="7">
        <f>$L$2-SUM(D566,E566)</f>
        <v>9961243</v>
      </c>
      <c r="G566" s="7"/>
      <c r="H566" s="7">
        <f t="shared" si="29"/>
        <v>2.0056027964399932E-2</v>
      </c>
      <c r="I566" s="7"/>
    </row>
    <row r="567" spans="1:9" x14ac:dyDescent="0.25">
      <c r="A567" s="5">
        <v>566</v>
      </c>
      <c r="B567" s="6">
        <v>44463</v>
      </c>
      <c r="C567" s="7">
        <v>382</v>
      </c>
      <c r="D567" s="7">
        <f t="shared" si="28"/>
        <v>2567</v>
      </c>
      <c r="E567" s="7">
        <f t="shared" si="30"/>
        <v>40121</v>
      </c>
      <c r="F567" s="7">
        <f>$L$2-SUM(D567,E567)</f>
        <v>9961453</v>
      </c>
      <c r="G567" s="7"/>
      <c r="H567" s="7">
        <f t="shared" si="29"/>
        <v>1.4755365020812044E-2</v>
      </c>
      <c r="I567" s="7"/>
    </row>
    <row r="568" spans="1:9" x14ac:dyDescent="0.25">
      <c r="A568" s="5">
        <v>567</v>
      </c>
      <c r="B568" s="6">
        <v>44464</v>
      </c>
      <c r="C568" s="7">
        <v>351</v>
      </c>
      <c r="D568" s="7">
        <f t="shared" si="28"/>
        <v>2561</v>
      </c>
      <c r="E568" s="7">
        <f t="shared" si="30"/>
        <v>40232</v>
      </c>
      <c r="F568" s="7">
        <f>$L$2-SUM(D568,E568)</f>
        <v>9961348</v>
      </c>
      <c r="G568" s="7"/>
      <c r="H568" s="7">
        <f t="shared" si="29"/>
        <v>6.1145356929807118E-3</v>
      </c>
      <c r="I568" s="7"/>
    </row>
    <row r="569" spans="1:9" x14ac:dyDescent="0.25">
      <c r="A569" s="5">
        <v>568</v>
      </c>
      <c r="B569" s="6">
        <v>44465</v>
      </c>
      <c r="C569" s="7">
        <v>153</v>
      </c>
      <c r="D569" s="7">
        <f t="shared" si="28"/>
        <v>2573</v>
      </c>
      <c r="E569" s="7">
        <f t="shared" si="30"/>
        <v>39486</v>
      </c>
      <c r="F569" s="7">
        <f>$L$2-SUM(D569,E569)</f>
        <v>9962082</v>
      </c>
      <c r="G569" s="7"/>
      <c r="H569" s="7">
        <f t="shared" si="29"/>
        <v>2.2463658005368991E-2</v>
      </c>
      <c r="I569" s="7"/>
    </row>
    <row r="570" spans="1:9" x14ac:dyDescent="0.25">
      <c r="A570" s="5">
        <v>569</v>
      </c>
      <c r="B570" s="6">
        <v>44466</v>
      </c>
      <c r="C570" s="7">
        <v>488</v>
      </c>
      <c r="D570" s="7">
        <f t="shared" si="28"/>
        <v>2645</v>
      </c>
      <c r="E570" s="7">
        <f t="shared" si="30"/>
        <v>39188</v>
      </c>
      <c r="F570" s="7">
        <f>$L$2-SUM(D570,E570)</f>
        <v>9962308</v>
      </c>
      <c r="G570" s="7"/>
      <c r="H570" s="7">
        <f t="shared" si="29"/>
        <v>1.8219863223435745E-2</v>
      </c>
      <c r="I570" s="7"/>
    </row>
    <row r="571" spans="1:9" x14ac:dyDescent="0.25">
      <c r="A571" s="5">
        <v>570</v>
      </c>
      <c r="B571" s="6">
        <v>44467</v>
      </c>
      <c r="C571" s="7">
        <v>554</v>
      </c>
      <c r="D571" s="7">
        <f t="shared" si="28"/>
        <v>2810</v>
      </c>
      <c r="E571" s="7">
        <f t="shared" si="30"/>
        <v>38943</v>
      </c>
      <c r="F571" s="7">
        <f>$L$2-SUM(D571,E571)</f>
        <v>9962388</v>
      </c>
      <c r="G571" s="7"/>
      <c r="H571" s="7">
        <f t="shared" si="29"/>
        <v>1.6280204401304472E-2</v>
      </c>
      <c r="I571" s="7"/>
    </row>
    <row r="572" spans="1:9" x14ac:dyDescent="0.25">
      <c r="A572" s="5">
        <v>571</v>
      </c>
      <c r="B572" s="6">
        <v>44468</v>
      </c>
      <c r="C572" s="7">
        <v>407</v>
      </c>
      <c r="D572" s="7">
        <f t="shared" si="28"/>
        <v>2702</v>
      </c>
      <c r="E572" s="7">
        <f t="shared" si="30"/>
        <v>38773</v>
      </c>
      <c r="F572" s="7">
        <f>$L$2-SUM(D572,E572)</f>
        <v>9962666</v>
      </c>
      <c r="G572" s="7"/>
      <c r="H572" s="7">
        <f t="shared" si="29"/>
        <v>1.7666933175147653E-2</v>
      </c>
      <c r="I572" s="7"/>
    </row>
    <row r="573" spans="1:9" x14ac:dyDescent="0.25">
      <c r="A573" s="5">
        <v>572</v>
      </c>
      <c r="B573" s="6">
        <v>44469</v>
      </c>
      <c r="C573" s="7">
        <v>498</v>
      </c>
      <c r="D573" s="7">
        <f t="shared" si="28"/>
        <v>2833</v>
      </c>
      <c r="E573" s="7">
        <f t="shared" si="30"/>
        <v>38466</v>
      </c>
      <c r="F573" s="7">
        <f>$L$2-SUM(D573,E573)</f>
        <v>9962842</v>
      </c>
      <c r="G573" s="7"/>
      <c r="H573" s="7">
        <f t="shared" si="29"/>
        <v>1.7521967451775596E-2</v>
      </c>
      <c r="I573" s="7"/>
    </row>
    <row r="574" spans="1:9" x14ac:dyDescent="0.25">
      <c r="A574" s="5">
        <v>573</v>
      </c>
      <c r="B574" s="6">
        <v>44470</v>
      </c>
      <c r="C574" s="7">
        <v>414</v>
      </c>
      <c r="D574" s="7">
        <f t="shared" si="28"/>
        <v>2865</v>
      </c>
      <c r="E574" s="7">
        <f t="shared" si="30"/>
        <v>38251</v>
      </c>
      <c r="F574" s="7">
        <f>$L$2-SUM(D574,E574)</f>
        <v>9963025</v>
      </c>
      <c r="G574" s="7"/>
      <c r="H574" s="7">
        <f t="shared" si="29"/>
        <v>1.5607435099735955E-2</v>
      </c>
      <c r="I574" s="7"/>
    </row>
    <row r="575" spans="1:9" x14ac:dyDescent="0.25">
      <c r="A575" s="5">
        <v>574</v>
      </c>
      <c r="B575" s="6">
        <v>44471</v>
      </c>
      <c r="C575" s="7">
        <v>342</v>
      </c>
      <c r="D575" s="7">
        <f t="shared" si="28"/>
        <v>2856</v>
      </c>
      <c r="E575" s="7">
        <f t="shared" si="30"/>
        <v>38342</v>
      </c>
      <c r="F575" s="7">
        <f>$L$2-SUM(D575,E575)</f>
        <v>9962943</v>
      </c>
      <c r="G575" s="7"/>
      <c r="H575" s="7">
        <f t="shared" si="29"/>
        <v>6.7810755829116895E-3</v>
      </c>
      <c r="I575" s="7"/>
    </row>
    <row r="576" spans="1:9" x14ac:dyDescent="0.25">
      <c r="A576" s="5">
        <v>575</v>
      </c>
      <c r="B576" s="6">
        <v>44472</v>
      </c>
      <c r="C576" s="7">
        <v>183</v>
      </c>
      <c r="D576" s="7">
        <f t="shared" si="28"/>
        <v>2886</v>
      </c>
      <c r="E576" s="7">
        <f t="shared" si="30"/>
        <v>37629</v>
      </c>
      <c r="F576" s="7">
        <f>$L$2-SUM(D576,E576)</f>
        <v>9963626</v>
      </c>
      <c r="G576" s="7"/>
      <c r="H576" s="7">
        <f t="shared" si="29"/>
        <v>2.3014164607084962E-2</v>
      </c>
      <c r="I576" s="7"/>
    </row>
    <row r="577" spans="1:9" x14ac:dyDescent="0.25">
      <c r="A577" s="5">
        <v>576</v>
      </c>
      <c r="B577" s="6">
        <v>44473</v>
      </c>
      <c r="C577" s="7">
        <v>428</v>
      </c>
      <c r="D577" s="7">
        <f t="shared" si="28"/>
        <v>2826</v>
      </c>
      <c r="E577" s="7">
        <f t="shared" si="30"/>
        <v>37852</v>
      </c>
      <c r="F577" s="7">
        <f>$L$2-SUM(D577,E577)</f>
        <v>9963463</v>
      </c>
      <c r="G577" s="7"/>
      <c r="H577" s="7">
        <f t="shared" si="29"/>
        <v>7.0009510725985418E-3</v>
      </c>
      <c r="I577" s="7"/>
    </row>
    <row r="578" spans="1:9" x14ac:dyDescent="0.25">
      <c r="A578" s="5">
        <v>577</v>
      </c>
      <c r="B578" s="6">
        <v>44474</v>
      </c>
      <c r="C578" s="7">
        <v>530</v>
      </c>
      <c r="D578" s="7">
        <f t="shared" si="28"/>
        <v>2802</v>
      </c>
      <c r="E578" s="7">
        <f t="shared" si="30"/>
        <v>37735</v>
      </c>
      <c r="F578" s="7">
        <f>$L$2-SUM(D578,E578)</f>
        <v>9963604</v>
      </c>
      <c r="G578" s="7"/>
      <c r="H578" s="7">
        <f t="shared" si="29"/>
        <v>1.7781900092752087E-2</v>
      </c>
      <c r="I578" s="7"/>
    </row>
    <row r="579" spans="1:9" x14ac:dyDescent="0.25">
      <c r="A579" s="5">
        <v>578</v>
      </c>
      <c r="B579" s="6">
        <v>44475</v>
      </c>
      <c r="C579" s="7">
        <v>456</v>
      </c>
      <c r="D579" s="7">
        <f t="shared" si="28"/>
        <v>2851</v>
      </c>
      <c r="E579" s="7">
        <f t="shared" si="30"/>
        <v>37434</v>
      </c>
      <c r="F579" s="7">
        <f>$L$2-SUM(D579,E579)</f>
        <v>9963856</v>
      </c>
      <c r="G579" s="7"/>
      <c r="H579" s="7">
        <f t="shared" si="29"/>
        <v>1.8913287385799005E-2</v>
      </c>
      <c r="I579" s="7"/>
    </row>
    <row r="580" spans="1:9" x14ac:dyDescent="0.25">
      <c r="A580" s="5">
        <v>579</v>
      </c>
      <c r="B580" s="6">
        <v>44476</v>
      </c>
      <c r="C580" s="7">
        <v>422</v>
      </c>
      <c r="D580" s="7">
        <f t="shared" si="28"/>
        <v>2775</v>
      </c>
      <c r="E580" s="7">
        <f t="shared" si="30"/>
        <v>37245</v>
      </c>
      <c r="F580" s="7">
        <f>$L$2-SUM(D580,E580)</f>
        <v>9964121</v>
      </c>
      <c r="G580" s="7"/>
      <c r="H580" s="7">
        <f t="shared" si="29"/>
        <v>1.8445428916633106E-2</v>
      </c>
      <c r="I580" s="7"/>
    </row>
    <row r="581" spans="1:9" x14ac:dyDescent="0.25">
      <c r="A581" s="5">
        <v>580</v>
      </c>
      <c r="B581" s="6">
        <v>44477</v>
      </c>
      <c r="C581" s="7">
        <v>296</v>
      </c>
      <c r="D581" s="7">
        <f t="shared" si="28"/>
        <v>2657</v>
      </c>
      <c r="E581" s="7">
        <f t="shared" si="30"/>
        <v>37042</v>
      </c>
      <c r="F581" s="7">
        <f>$L$2-SUM(D581,E581)</f>
        <v>9964442</v>
      </c>
      <c r="G581" s="7"/>
      <c r="H581" s="7">
        <f t="shared" si="29"/>
        <v>1.6656767993088926E-2</v>
      </c>
      <c r="I581" s="7"/>
    </row>
    <row r="582" spans="1:9" x14ac:dyDescent="0.25">
      <c r="A582" s="5">
        <v>581</v>
      </c>
      <c r="B582" s="6">
        <v>44478</v>
      </c>
      <c r="C582" s="7">
        <v>445</v>
      </c>
      <c r="D582" s="7">
        <f t="shared" si="28"/>
        <v>2760</v>
      </c>
      <c r="E582" s="7">
        <f t="shared" si="30"/>
        <v>37204</v>
      </c>
      <c r="F582" s="7">
        <f>$L$2-SUM(D582,E582)</f>
        <v>9964177</v>
      </c>
      <c r="G582" s="7"/>
      <c r="H582" s="7">
        <f t="shared" si="29"/>
        <v>4.8381894419954842E-3</v>
      </c>
      <c r="I582" s="7"/>
    </row>
    <row r="583" spans="1:9" x14ac:dyDescent="0.25">
      <c r="A583" s="5">
        <v>582</v>
      </c>
      <c r="B583" s="6">
        <v>44479</v>
      </c>
      <c r="C583" s="7">
        <v>152</v>
      </c>
      <c r="D583" s="7">
        <f t="shared" si="28"/>
        <v>2729</v>
      </c>
      <c r="E583" s="7">
        <f t="shared" si="30"/>
        <v>36673</v>
      </c>
      <c r="F583" s="7">
        <f>$L$2-SUM(D583,E583)</f>
        <v>9964739</v>
      </c>
      <c r="G583" s="7"/>
      <c r="H583" s="7">
        <f t="shared" si="29"/>
        <v>1.9469364382515748E-2</v>
      </c>
      <c r="I583" s="7"/>
    </row>
    <row r="584" spans="1:9" x14ac:dyDescent="0.25">
      <c r="A584" s="5">
        <v>583</v>
      </c>
      <c r="B584" s="6">
        <v>44480</v>
      </c>
      <c r="C584" s="7">
        <v>467</v>
      </c>
      <c r="D584" s="7">
        <f t="shared" si="28"/>
        <v>2768</v>
      </c>
      <c r="E584" s="7">
        <f t="shared" si="30"/>
        <v>36497</v>
      </c>
      <c r="F584" s="7">
        <f>$L$2-SUM(D584,E584)</f>
        <v>9964876</v>
      </c>
      <c r="G584" s="7"/>
      <c r="H584" s="7">
        <f t="shared" si="29"/>
        <v>1.6549305422363481E-2</v>
      </c>
      <c r="I584" s="7"/>
    </row>
    <row r="585" spans="1:9" x14ac:dyDescent="0.25">
      <c r="A585" s="5">
        <v>584</v>
      </c>
      <c r="B585" s="6">
        <v>44481</v>
      </c>
      <c r="C585" s="7">
        <v>412</v>
      </c>
      <c r="D585" s="7">
        <f t="shared" ref="D585:D648" si="31">SUM(C579:C585)</f>
        <v>2650</v>
      </c>
      <c r="E585" s="7">
        <f t="shared" si="30"/>
        <v>36323</v>
      </c>
      <c r="F585" s="7">
        <f>$L$2-SUM(D585,E585)</f>
        <v>9965168</v>
      </c>
      <c r="G585" s="7"/>
      <c r="H585" s="7">
        <f t="shared" si="29"/>
        <v>1.9381659003936898E-2</v>
      </c>
      <c r="I585" s="7"/>
    </row>
    <row r="586" spans="1:9" x14ac:dyDescent="0.25">
      <c r="A586" s="5">
        <v>585</v>
      </c>
      <c r="B586" s="6">
        <v>44482</v>
      </c>
      <c r="C586" s="7">
        <v>539</v>
      </c>
      <c r="D586" s="7">
        <f t="shared" si="31"/>
        <v>2733</v>
      </c>
      <c r="E586" s="7">
        <f t="shared" si="30"/>
        <v>36138</v>
      </c>
      <c r="F586" s="7">
        <f>$L$2-SUM(D586,E586)</f>
        <v>9965270</v>
      </c>
      <c r="G586" s="7"/>
      <c r="H586" s="7">
        <f t="shared" si="29"/>
        <v>1.7737561569538988E-2</v>
      </c>
      <c r="I586" s="7"/>
    </row>
    <row r="587" spans="1:9" x14ac:dyDescent="0.25">
      <c r="A587" s="5">
        <v>586</v>
      </c>
      <c r="B587" s="6">
        <v>44483</v>
      </c>
      <c r="C587" s="7">
        <v>414</v>
      </c>
      <c r="D587" s="7">
        <f t="shared" si="31"/>
        <v>2725</v>
      </c>
      <c r="E587" s="7">
        <f t="shared" si="30"/>
        <v>35957</v>
      </c>
      <c r="F587" s="7">
        <f>$L$2-SUM(D587,E587)</f>
        <v>9965459</v>
      </c>
      <c r="G587" s="7"/>
      <c r="H587" s="7">
        <f t="shared" si="29"/>
        <v>1.6770030870206079E-2</v>
      </c>
      <c r="I587" s="7"/>
    </row>
    <row r="588" spans="1:9" x14ac:dyDescent="0.25">
      <c r="A588" s="5">
        <v>587</v>
      </c>
      <c r="B588" s="6">
        <v>44484</v>
      </c>
      <c r="C588" s="7">
        <v>415</v>
      </c>
      <c r="D588" s="7">
        <f t="shared" si="31"/>
        <v>2844</v>
      </c>
      <c r="E588" s="7">
        <f t="shared" si="30"/>
        <v>35710</v>
      </c>
      <c r="F588" s="7">
        <f>$L$2-SUM(D588,E588)</f>
        <v>9965587</v>
      </c>
      <c r="G588" s="7"/>
      <c r="H588" s="7">
        <f t="shared" si="29"/>
        <v>1.5205824698963876E-2</v>
      </c>
      <c r="I588" s="7"/>
    </row>
    <row r="589" spans="1:9" x14ac:dyDescent="0.25">
      <c r="A589" s="5">
        <v>588</v>
      </c>
      <c r="B589" s="6">
        <v>44485</v>
      </c>
      <c r="C589" s="7">
        <v>363</v>
      </c>
      <c r="D589" s="7">
        <f t="shared" si="31"/>
        <v>2762</v>
      </c>
      <c r="E589" s="7">
        <f t="shared" si="30"/>
        <v>35914</v>
      </c>
      <c r="F589" s="7">
        <f>$L$2-SUM(D589,E589)</f>
        <v>9965465</v>
      </c>
      <c r="G589" s="7"/>
      <c r="H589" s="7">
        <f t="shared" si="29"/>
        <v>6.7104750236676508E-3</v>
      </c>
      <c r="I589" s="7"/>
    </row>
    <row r="590" spans="1:9" x14ac:dyDescent="0.25">
      <c r="A590" s="5">
        <v>589</v>
      </c>
      <c r="B590" s="6">
        <v>44486</v>
      </c>
      <c r="C590" s="7">
        <v>139</v>
      </c>
      <c r="D590" s="7">
        <f t="shared" si="31"/>
        <v>2749</v>
      </c>
      <c r="E590" s="7">
        <f t="shared" si="30"/>
        <v>35468</v>
      </c>
      <c r="F590" s="7">
        <f>$L$2-SUM(D590,E590)</f>
        <v>9965924</v>
      </c>
      <c r="G590" s="7"/>
      <c r="H590" s="7">
        <f t="shared" si="29"/>
        <v>1.6860268410961995E-2</v>
      </c>
      <c r="I590" s="7"/>
    </row>
    <row r="591" spans="1:9" x14ac:dyDescent="0.25">
      <c r="A591" s="5">
        <v>590</v>
      </c>
      <c r="B591" s="6">
        <v>44487</v>
      </c>
      <c r="C591" s="7">
        <v>500</v>
      </c>
      <c r="D591" s="7">
        <f t="shared" si="31"/>
        <v>2782</v>
      </c>
      <c r="E591" s="7">
        <f t="shared" si="30"/>
        <v>35344</v>
      </c>
      <c r="F591" s="7">
        <f>$L$2-SUM(D591,E591)</f>
        <v>9966015</v>
      </c>
      <c r="G591" s="7"/>
      <c r="H591" s="7">
        <f t="shared" si="29"/>
        <v>1.6721367134449976E-2</v>
      </c>
      <c r="I591" s="7"/>
    </row>
    <row r="592" spans="1:9" x14ac:dyDescent="0.25">
      <c r="A592" s="5">
        <v>591</v>
      </c>
      <c r="B592" s="6">
        <v>44488</v>
      </c>
      <c r="C592" s="7">
        <v>418</v>
      </c>
      <c r="D592" s="7">
        <f t="shared" si="31"/>
        <v>2788</v>
      </c>
      <c r="E592" s="7">
        <f t="shared" si="30"/>
        <v>35076</v>
      </c>
      <c r="F592" s="7">
        <f>$L$2-SUM(D592,E592)</f>
        <v>9966277</v>
      </c>
      <c r="G592" s="7"/>
      <c r="H592" s="7">
        <f t="shared" si="29"/>
        <v>1.9386475082677615E-2</v>
      </c>
      <c r="I592" s="7"/>
    </row>
    <row r="593" spans="1:9" x14ac:dyDescent="0.25">
      <c r="A593" s="5">
        <v>592</v>
      </c>
      <c r="B593" s="6">
        <v>44489</v>
      </c>
      <c r="C593" s="7">
        <v>489</v>
      </c>
      <c r="D593" s="7">
        <f t="shared" si="31"/>
        <v>2738</v>
      </c>
      <c r="E593" s="7">
        <f t="shared" si="30"/>
        <v>35071</v>
      </c>
      <c r="F593" s="7">
        <f>$L$2-SUM(D593,E593)</f>
        <v>9966332</v>
      </c>
      <c r="G593" s="7"/>
      <c r="H593" s="7">
        <f t="shared" si="29"/>
        <v>1.5511391177896268E-2</v>
      </c>
      <c r="I593" s="7"/>
    </row>
    <row r="594" spans="1:9" x14ac:dyDescent="0.25">
      <c r="A594" s="5">
        <v>593</v>
      </c>
      <c r="B594" s="6">
        <v>44490</v>
      </c>
      <c r="C594" s="7">
        <v>513</v>
      </c>
      <c r="D594" s="7">
        <f t="shared" si="31"/>
        <v>2837</v>
      </c>
      <c r="E594" s="7">
        <f t="shared" si="30"/>
        <v>34961</v>
      </c>
      <c r="F594" s="7">
        <f>$L$2-SUM(D594,E594)</f>
        <v>9966343</v>
      </c>
      <c r="G594" s="7"/>
      <c r="H594" s="7">
        <f t="shared" si="29"/>
        <v>1.498812963015932E-2</v>
      </c>
      <c r="I594" s="7"/>
    </row>
    <row r="595" spans="1:9" x14ac:dyDescent="0.25">
      <c r="A595" s="5">
        <v>594</v>
      </c>
      <c r="B595" s="6">
        <v>44491</v>
      </c>
      <c r="C595" s="7">
        <v>449</v>
      </c>
      <c r="D595" s="7">
        <f t="shared" si="31"/>
        <v>2871</v>
      </c>
      <c r="E595" s="7">
        <f t="shared" si="30"/>
        <v>34913</v>
      </c>
      <c r="F595" s="7">
        <f>$L$2-SUM(D595,E595)</f>
        <v>9966357</v>
      </c>
      <c r="G595" s="7"/>
      <c r="H595" s="7">
        <f t="shared" si="29"/>
        <v>1.3261535817603759E-2</v>
      </c>
      <c r="I595" s="7"/>
    </row>
    <row r="596" spans="1:9" x14ac:dyDescent="0.25">
      <c r="A596" s="5">
        <v>595</v>
      </c>
      <c r="B596" s="6">
        <v>44492</v>
      </c>
      <c r="C596" s="7">
        <v>325</v>
      </c>
      <c r="D596" s="7">
        <f t="shared" si="31"/>
        <v>2833</v>
      </c>
      <c r="E596" s="7">
        <f t="shared" si="30"/>
        <v>35079</v>
      </c>
      <c r="F596" s="7">
        <f>$L$2-SUM(D596,E596)</f>
        <v>9966229</v>
      </c>
      <c r="G596" s="7"/>
      <c r="H596" s="7">
        <f t="shared" si="29"/>
        <v>5.6158955500441856E-3</v>
      </c>
      <c r="I596" s="7"/>
    </row>
    <row r="597" spans="1:9" x14ac:dyDescent="0.25">
      <c r="A597" s="5">
        <v>596</v>
      </c>
      <c r="B597" s="6">
        <v>44493</v>
      </c>
      <c r="C597" s="7">
        <v>205</v>
      </c>
      <c r="D597" s="7">
        <f t="shared" si="31"/>
        <v>2899</v>
      </c>
      <c r="E597" s="7">
        <f t="shared" si="30"/>
        <v>34686</v>
      </c>
      <c r="F597" s="7">
        <f>$L$2-SUM(D597,E597)</f>
        <v>9966556</v>
      </c>
      <c r="G597" s="7"/>
      <c r="H597" s="7">
        <f t="shared" si="29"/>
        <v>1.5337600184512483E-2</v>
      </c>
      <c r="I597" s="7"/>
    </row>
    <row r="598" spans="1:9" x14ac:dyDescent="0.25">
      <c r="A598" s="5">
        <v>597</v>
      </c>
      <c r="B598" s="6">
        <v>44494</v>
      </c>
      <c r="C598" s="7">
        <v>478</v>
      </c>
      <c r="D598" s="7">
        <f t="shared" si="31"/>
        <v>2877</v>
      </c>
      <c r="E598" s="7">
        <f t="shared" si="30"/>
        <v>34765</v>
      </c>
      <c r="F598" s="7">
        <f>$L$2-SUM(D598,E598)</f>
        <v>9966499</v>
      </c>
      <c r="G598" s="7"/>
      <c r="H598" s="7">
        <f t="shared" si="29"/>
        <v>1.2109880627067453E-2</v>
      </c>
      <c r="I598" s="7"/>
    </row>
    <row r="599" spans="1:9" x14ac:dyDescent="0.25">
      <c r="A599" s="5">
        <v>598</v>
      </c>
      <c r="B599" s="6">
        <v>44495</v>
      </c>
      <c r="C599" s="7">
        <v>478</v>
      </c>
      <c r="D599" s="7">
        <f t="shared" si="31"/>
        <v>2937</v>
      </c>
      <c r="E599" s="7">
        <f t="shared" si="30"/>
        <v>34736</v>
      </c>
      <c r="F599" s="7">
        <f>$L$2-SUM(D599,E599)</f>
        <v>9966468</v>
      </c>
      <c r="G599" s="7"/>
      <c r="H599" s="7">
        <f t="shared" si="29"/>
        <v>1.2868493781667434E-2</v>
      </c>
      <c r="I599" s="7"/>
    </row>
    <row r="600" spans="1:9" x14ac:dyDescent="0.25">
      <c r="A600" s="5">
        <v>599</v>
      </c>
      <c r="B600" s="6">
        <v>44496</v>
      </c>
      <c r="C600" s="7">
        <v>368</v>
      </c>
      <c r="D600" s="7">
        <f t="shared" si="31"/>
        <v>2816</v>
      </c>
      <c r="E600" s="7">
        <f t="shared" si="30"/>
        <v>34698</v>
      </c>
      <c r="F600" s="7">
        <f>$L$2-SUM(D600,E600)</f>
        <v>9966627</v>
      </c>
      <c r="G600" s="7"/>
      <c r="H600" s="7">
        <f t="shared" si="29"/>
        <v>1.5188195285030837E-2</v>
      </c>
      <c r="I600" s="7"/>
    </row>
    <row r="601" spans="1:9" x14ac:dyDescent="0.25">
      <c r="A601" s="5">
        <v>600</v>
      </c>
      <c r="B601" s="6">
        <v>44497</v>
      </c>
      <c r="C601" s="7">
        <v>444</v>
      </c>
      <c r="D601" s="7">
        <f t="shared" si="31"/>
        <v>2747</v>
      </c>
      <c r="E601" s="7">
        <f t="shared" si="30"/>
        <v>34719</v>
      </c>
      <c r="F601" s="7">
        <f>$L$2-SUM(D601,E601)</f>
        <v>9966675</v>
      </c>
      <c r="G601" s="7"/>
      <c r="H601" s="7">
        <f t="shared" si="29"/>
        <v>1.4170915060917654E-2</v>
      </c>
      <c r="I601" s="7"/>
    </row>
    <row r="602" spans="1:9" x14ac:dyDescent="0.25">
      <c r="A602" s="5">
        <v>601</v>
      </c>
      <c r="B602" s="6">
        <v>44498</v>
      </c>
      <c r="C602" s="7">
        <v>450</v>
      </c>
      <c r="D602" s="7">
        <f t="shared" si="31"/>
        <v>2748</v>
      </c>
      <c r="E602" s="7">
        <f t="shared" si="30"/>
        <v>34669</v>
      </c>
      <c r="F602" s="7">
        <f>$L$2-SUM(D602,E602)</f>
        <v>9966724</v>
      </c>
      <c r="G602" s="7"/>
      <c r="H602" s="7">
        <f t="shared" si="29"/>
        <v>1.4393261991981309E-2</v>
      </c>
      <c r="I602" s="7"/>
    </row>
    <row r="603" spans="1:9" x14ac:dyDescent="0.25">
      <c r="A603" s="5">
        <v>602</v>
      </c>
      <c r="B603" s="6">
        <v>44499</v>
      </c>
      <c r="C603" s="7">
        <v>396</v>
      </c>
      <c r="D603" s="7">
        <f t="shared" si="31"/>
        <v>2819</v>
      </c>
      <c r="E603" s="7">
        <f t="shared" si="30"/>
        <v>34862</v>
      </c>
      <c r="F603" s="7">
        <f>$L$2-SUM(D603,E603)</f>
        <v>9966460</v>
      </c>
      <c r="G603" s="7"/>
      <c r="H603" s="7">
        <f t="shared" si="29"/>
        <v>3.7863576386896907E-3</v>
      </c>
      <c r="I603" s="7"/>
    </row>
    <row r="604" spans="1:9" x14ac:dyDescent="0.25">
      <c r="A604" s="5">
        <v>603</v>
      </c>
      <c r="B604" s="6">
        <v>44500</v>
      </c>
      <c r="C604" s="7">
        <v>175</v>
      </c>
      <c r="D604" s="7">
        <f t="shared" si="31"/>
        <v>2789</v>
      </c>
      <c r="E604" s="7">
        <f t="shared" si="30"/>
        <v>34586</v>
      </c>
      <c r="F604" s="7">
        <f>$L$2-SUM(D604,E604)</f>
        <v>9966766</v>
      </c>
      <c r="G604" s="7"/>
      <c r="H604" s="7">
        <f t="shared" si="29"/>
        <v>1.3907361360087897E-2</v>
      </c>
      <c r="I604" s="7"/>
    </row>
    <row r="605" spans="1:9" x14ac:dyDescent="0.25">
      <c r="A605" s="5">
        <v>604</v>
      </c>
      <c r="B605" s="6">
        <v>44501</v>
      </c>
      <c r="C605" s="7">
        <v>225</v>
      </c>
      <c r="D605" s="7">
        <f t="shared" si="31"/>
        <v>2536</v>
      </c>
      <c r="E605" s="7">
        <f t="shared" si="30"/>
        <v>34637</v>
      </c>
      <c r="F605" s="7">
        <f>$L$2-SUM(D605,E605)</f>
        <v>9966968</v>
      </c>
      <c r="G605" s="7"/>
      <c r="H605" s="7">
        <f t="shared" si="29"/>
        <v>1.232785749343188E-2</v>
      </c>
      <c r="I605" s="7"/>
    </row>
    <row r="606" spans="1:9" x14ac:dyDescent="0.25">
      <c r="A606" s="5">
        <v>605</v>
      </c>
      <c r="B606" s="6">
        <v>44502</v>
      </c>
      <c r="C606" s="7">
        <v>497</v>
      </c>
      <c r="D606" s="7">
        <f t="shared" si="31"/>
        <v>2555</v>
      </c>
      <c r="E606" s="7">
        <f t="shared" si="30"/>
        <v>34954</v>
      </c>
      <c r="F606" s="7">
        <f>$L$2-SUM(D606,E606)</f>
        <v>9966632</v>
      </c>
      <c r="G606" s="7"/>
      <c r="H606" s="7">
        <f t="shared" si="29"/>
        <v>4.6060536705384222E-3</v>
      </c>
      <c r="I606" s="7"/>
    </row>
    <row r="607" spans="1:9" x14ac:dyDescent="0.25">
      <c r="A607" s="5">
        <v>606</v>
      </c>
      <c r="B607" s="6">
        <v>44503</v>
      </c>
      <c r="C607" s="7">
        <v>473</v>
      </c>
      <c r="D607" s="7">
        <f t="shared" si="31"/>
        <v>2660</v>
      </c>
      <c r="E607" s="7">
        <f t="shared" si="30"/>
        <v>35063</v>
      </c>
      <c r="F607" s="7">
        <f>$L$2-SUM(D607,E607)</f>
        <v>9966418</v>
      </c>
      <c r="G607" s="7"/>
      <c r="H607" s="7">
        <f t="shared" si="29"/>
        <v>7.3867039329207429E-3</v>
      </c>
      <c r="I607" s="7"/>
    </row>
    <row r="608" spans="1:9" x14ac:dyDescent="0.25">
      <c r="A608" s="5">
        <v>607</v>
      </c>
      <c r="B608" s="6">
        <v>44504</v>
      </c>
      <c r="C608" s="7">
        <v>542</v>
      </c>
      <c r="D608" s="7">
        <f t="shared" si="31"/>
        <v>2758</v>
      </c>
      <c r="E608" s="7">
        <f t="shared" si="30"/>
        <v>34937</v>
      </c>
      <c r="F608" s="7">
        <f>$L$2-SUM(D608,E608)</f>
        <v>9966446</v>
      </c>
      <c r="G608" s="7"/>
      <c r="H608" s="7">
        <f t="shared" si="29"/>
        <v>1.6315081432292412E-2</v>
      </c>
      <c r="I608" s="7"/>
    </row>
    <row r="609" spans="1:9" x14ac:dyDescent="0.25">
      <c r="A609" s="5">
        <v>608</v>
      </c>
      <c r="B609" s="6">
        <v>44505</v>
      </c>
      <c r="C609" s="7">
        <v>510</v>
      </c>
      <c r="D609" s="7">
        <f t="shared" si="31"/>
        <v>2818</v>
      </c>
      <c r="E609" s="7">
        <f t="shared" si="30"/>
        <v>34907</v>
      </c>
      <c r="F609" s="7">
        <f>$L$2-SUM(D609,E609)</f>
        <v>9966416</v>
      </c>
      <c r="G609" s="7"/>
      <c r="H609" s="7">
        <f t="shared" si="29"/>
        <v>1.3750823617039562E-2</v>
      </c>
      <c r="I609" s="7"/>
    </row>
    <row r="610" spans="1:9" x14ac:dyDescent="0.25">
      <c r="A610" s="5">
        <v>609</v>
      </c>
      <c r="B610" s="6">
        <v>44506</v>
      </c>
      <c r="C610" s="7">
        <v>412</v>
      </c>
      <c r="D610" s="7">
        <f t="shared" si="31"/>
        <v>2834</v>
      </c>
      <c r="E610" s="7">
        <f t="shared" si="30"/>
        <v>35103</v>
      </c>
      <c r="F610" s="7">
        <f>$L$2-SUM(D610,E610)</f>
        <v>9966204</v>
      </c>
      <c r="G610" s="7"/>
      <c r="H610" s="7">
        <f t="shared" si="29"/>
        <v>5.6975187305928271E-3</v>
      </c>
      <c r="I610" s="7"/>
    </row>
    <row r="611" spans="1:9" x14ac:dyDescent="0.25">
      <c r="A611" s="5">
        <v>610</v>
      </c>
      <c r="B611" s="6">
        <v>44507</v>
      </c>
      <c r="C611" s="7">
        <v>183</v>
      </c>
      <c r="D611" s="7">
        <f t="shared" si="31"/>
        <v>2842</v>
      </c>
      <c r="E611" s="7">
        <f t="shared" si="30"/>
        <v>34743</v>
      </c>
      <c r="F611" s="7">
        <f>$L$2-SUM(D611,E611)</f>
        <v>9966556</v>
      </c>
      <c r="G611" s="7"/>
      <c r="H611" s="7">
        <f t="shared" ref="H611:H674" si="32">C514/E611</f>
        <v>1.5398785366836485E-2</v>
      </c>
      <c r="I611" s="7"/>
    </row>
    <row r="612" spans="1:9" x14ac:dyDescent="0.25">
      <c r="A612" s="5">
        <v>611</v>
      </c>
      <c r="B612" s="6">
        <v>44508</v>
      </c>
      <c r="C612" s="7">
        <v>606</v>
      </c>
      <c r="D612" s="7">
        <f t="shared" si="31"/>
        <v>3223</v>
      </c>
      <c r="E612" s="7">
        <f t="shared" ref="E612:E675" si="33">SUM(C516:C605)</f>
        <v>34476</v>
      </c>
      <c r="F612" s="7">
        <f>$L$2-SUM(D612,E612)</f>
        <v>9966442</v>
      </c>
      <c r="G612" s="7"/>
      <c r="H612" s="7">
        <f t="shared" si="32"/>
        <v>1.427079707622694E-2</v>
      </c>
      <c r="I612" s="7"/>
    </row>
    <row r="613" spans="1:9" x14ac:dyDescent="0.25">
      <c r="A613" s="5">
        <v>612</v>
      </c>
      <c r="B613" s="6">
        <v>44509</v>
      </c>
      <c r="C613" s="7">
        <v>625</v>
      </c>
      <c r="D613" s="7">
        <f t="shared" si="31"/>
        <v>3351</v>
      </c>
      <c r="E613" s="7">
        <f t="shared" si="33"/>
        <v>34514</v>
      </c>
      <c r="F613" s="7">
        <f>$L$2-SUM(D613,E613)</f>
        <v>9966276</v>
      </c>
      <c r="G613" s="7"/>
      <c r="H613" s="7">
        <f t="shared" si="32"/>
        <v>1.3298951150257867E-2</v>
      </c>
      <c r="I613" s="7"/>
    </row>
    <row r="614" spans="1:9" x14ac:dyDescent="0.25">
      <c r="A614" s="5">
        <v>613</v>
      </c>
      <c r="B614" s="6">
        <v>44510</v>
      </c>
      <c r="C614" s="7">
        <v>544</v>
      </c>
      <c r="D614" s="7">
        <f t="shared" si="31"/>
        <v>3422</v>
      </c>
      <c r="E614" s="7">
        <f t="shared" si="33"/>
        <v>34459</v>
      </c>
      <c r="F614" s="7">
        <f>$L$2-SUM(D614,E614)</f>
        <v>9966260</v>
      </c>
      <c r="G614" s="7"/>
      <c r="H614" s="7">
        <f t="shared" si="32"/>
        <v>1.5322557241939696E-2</v>
      </c>
      <c r="I614" s="7"/>
    </row>
    <row r="615" spans="1:9" x14ac:dyDescent="0.25">
      <c r="A615" s="5">
        <v>614</v>
      </c>
      <c r="B615" s="6">
        <v>44511</v>
      </c>
      <c r="C615" s="7">
        <v>539</v>
      </c>
      <c r="D615" s="7">
        <f t="shared" si="31"/>
        <v>3419</v>
      </c>
      <c r="E615" s="7">
        <f t="shared" si="33"/>
        <v>34485</v>
      </c>
      <c r="F615" s="7">
        <f>$L$2-SUM(D615,E615)</f>
        <v>9966237</v>
      </c>
      <c r="G615" s="7"/>
      <c r="H615" s="7">
        <f t="shared" si="32"/>
        <v>1.496302740321879E-2</v>
      </c>
      <c r="I615" s="7"/>
    </row>
    <row r="616" spans="1:9" x14ac:dyDescent="0.25">
      <c r="A616" s="5">
        <v>615</v>
      </c>
      <c r="B616" s="6">
        <v>44512</v>
      </c>
      <c r="C616" s="7">
        <v>525</v>
      </c>
      <c r="D616" s="7">
        <f t="shared" si="31"/>
        <v>3434</v>
      </c>
      <c r="E616" s="7">
        <f t="shared" si="33"/>
        <v>34513</v>
      </c>
      <c r="F616" s="7">
        <f>$L$2-SUM(D616,E616)</f>
        <v>9966194</v>
      </c>
      <c r="G616" s="7"/>
      <c r="H616" s="7">
        <f t="shared" si="32"/>
        <v>1.3965752035464898E-2</v>
      </c>
      <c r="I616" s="7"/>
    </row>
    <row r="617" spans="1:9" x14ac:dyDescent="0.25">
      <c r="A617" s="5">
        <v>616</v>
      </c>
      <c r="B617" s="6">
        <v>44513</v>
      </c>
      <c r="C617" s="7">
        <v>460</v>
      </c>
      <c r="D617" s="7">
        <f t="shared" si="31"/>
        <v>3482</v>
      </c>
      <c r="E617" s="7">
        <f t="shared" si="33"/>
        <v>34760</v>
      </c>
      <c r="F617" s="7">
        <f>$L$2-SUM(D617,E617)</f>
        <v>9965899</v>
      </c>
      <c r="G617" s="7"/>
      <c r="H617" s="7">
        <f t="shared" si="32"/>
        <v>4.7468354430379748E-3</v>
      </c>
      <c r="I617" s="7"/>
    </row>
    <row r="618" spans="1:9" x14ac:dyDescent="0.25">
      <c r="A618" s="5">
        <v>617</v>
      </c>
      <c r="B618" s="6">
        <v>44514</v>
      </c>
      <c r="C618" s="7">
        <v>494</v>
      </c>
      <c r="D618" s="7">
        <f t="shared" si="31"/>
        <v>3793</v>
      </c>
      <c r="E618" s="7">
        <f t="shared" si="33"/>
        <v>34450</v>
      </c>
      <c r="F618" s="7">
        <f>$L$2-SUM(D618,E618)</f>
        <v>9965898</v>
      </c>
      <c r="G618" s="7"/>
      <c r="H618" s="7">
        <f t="shared" si="32"/>
        <v>1.4310595065312046E-2</v>
      </c>
      <c r="I618" s="7"/>
    </row>
    <row r="619" spans="1:9" x14ac:dyDescent="0.25">
      <c r="A619" s="5">
        <v>618</v>
      </c>
      <c r="B619" s="6">
        <v>44515</v>
      </c>
      <c r="C619" s="7">
        <v>884</v>
      </c>
      <c r="D619" s="7">
        <f t="shared" si="31"/>
        <v>4071</v>
      </c>
      <c r="E619" s="7">
        <f t="shared" si="33"/>
        <v>34515</v>
      </c>
      <c r="F619" s="7">
        <f>$L$2-SUM(D619,E619)</f>
        <v>9965555</v>
      </c>
      <c r="G619" s="7"/>
      <c r="H619" s="7">
        <f t="shared" si="32"/>
        <v>1.5674344487903811E-2</v>
      </c>
      <c r="I619" s="7"/>
    </row>
    <row r="620" spans="1:9" x14ac:dyDescent="0.25">
      <c r="A620" s="5">
        <v>619</v>
      </c>
      <c r="B620" s="6">
        <v>44516</v>
      </c>
      <c r="C620" s="7">
        <v>752</v>
      </c>
      <c r="D620" s="7">
        <f t="shared" si="31"/>
        <v>4198</v>
      </c>
      <c r="E620" s="7">
        <f t="shared" si="33"/>
        <v>34416</v>
      </c>
      <c r="F620" s="7">
        <f>$L$2-SUM(D620,E620)</f>
        <v>9965527</v>
      </c>
      <c r="G620" s="7"/>
      <c r="H620" s="7">
        <f t="shared" si="32"/>
        <v>2.1036727103672711E-2</v>
      </c>
      <c r="I620" s="7"/>
    </row>
    <row r="621" spans="1:9" x14ac:dyDescent="0.25">
      <c r="A621" s="5">
        <v>620</v>
      </c>
      <c r="B621" s="6">
        <v>44517</v>
      </c>
      <c r="C621" s="7">
        <v>794</v>
      </c>
      <c r="D621" s="7">
        <f t="shared" si="31"/>
        <v>4448</v>
      </c>
      <c r="E621" s="7">
        <f t="shared" si="33"/>
        <v>34505</v>
      </c>
      <c r="F621" s="7">
        <f>$L$2-SUM(D621,E621)</f>
        <v>9965188</v>
      </c>
      <c r="G621" s="7"/>
      <c r="H621" s="7">
        <f t="shared" si="32"/>
        <v>1.3186494710911462E-2</v>
      </c>
      <c r="I621" s="7"/>
    </row>
    <row r="622" spans="1:9" x14ac:dyDescent="0.25">
      <c r="A622" s="5">
        <v>621</v>
      </c>
      <c r="B622" s="6">
        <v>44518</v>
      </c>
      <c r="C622" s="7">
        <v>943</v>
      </c>
      <c r="D622" s="7">
        <f t="shared" si="31"/>
        <v>4852</v>
      </c>
      <c r="E622" s="7">
        <f t="shared" si="33"/>
        <v>34541</v>
      </c>
      <c r="F622" s="7">
        <f>$L$2-SUM(D622,E622)</f>
        <v>9964748</v>
      </c>
      <c r="G622" s="7"/>
      <c r="H622" s="7">
        <f t="shared" si="32"/>
        <v>1.4562404099475986E-2</v>
      </c>
      <c r="I622" s="7"/>
    </row>
    <row r="623" spans="1:9" x14ac:dyDescent="0.25">
      <c r="A623" s="5">
        <v>622</v>
      </c>
      <c r="B623" s="6">
        <v>44519</v>
      </c>
      <c r="C623" s="7">
        <v>905</v>
      </c>
      <c r="D623" s="7">
        <f t="shared" si="31"/>
        <v>5232</v>
      </c>
      <c r="E623" s="7">
        <f t="shared" si="33"/>
        <v>34700</v>
      </c>
      <c r="F623" s="7">
        <f>$L$2-SUM(D623,E623)</f>
        <v>9964209</v>
      </c>
      <c r="G623" s="7"/>
      <c r="H623" s="7">
        <f t="shared" si="32"/>
        <v>1.0547550432276656E-2</v>
      </c>
      <c r="I623" s="7"/>
    </row>
    <row r="624" spans="1:9" x14ac:dyDescent="0.25">
      <c r="A624" s="5">
        <v>623</v>
      </c>
      <c r="B624" s="6">
        <v>44520</v>
      </c>
      <c r="C624" s="7">
        <v>781</v>
      </c>
      <c r="D624" s="7">
        <f t="shared" si="31"/>
        <v>5553</v>
      </c>
      <c r="E624" s="7">
        <f t="shared" si="33"/>
        <v>35011</v>
      </c>
      <c r="F624" s="7">
        <f>$L$2-SUM(D624,E624)</f>
        <v>9963577</v>
      </c>
      <c r="G624" s="7"/>
      <c r="H624" s="7">
        <f t="shared" si="32"/>
        <v>4.2558053183285255E-3</v>
      </c>
      <c r="I624" s="7"/>
    </row>
    <row r="625" spans="1:9" x14ac:dyDescent="0.25">
      <c r="A625" s="5">
        <v>624</v>
      </c>
      <c r="B625" s="6">
        <v>44521</v>
      </c>
      <c r="C625" s="7">
        <v>527</v>
      </c>
      <c r="D625" s="7">
        <f t="shared" si="31"/>
        <v>5586</v>
      </c>
      <c r="E625" s="7">
        <f t="shared" si="33"/>
        <v>34905</v>
      </c>
      <c r="F625" s="7">
        <f>$L$2-SUM(D625,E625)</f>
        <v>9963650</v>
      </c>
      <c r="G625" s="7"/>
      <c r="H625" s="7">
        <f t="shared" si="32"/>
        <v>1.7189514396218308E-2</v>
      </c>
      <c r="I625" s="7"/>
    </row>
    <row r="626" spans="1:9" x14ac:dyDescent="0.25">
      <c r="A626" s="5">
        <v>625</v>
      </c>
      <c r="B626" s="6">
        <v>44522</v>
      </c>
      <c r="C626" s="7">
        <v>883</v>
      </c>
      <c r="D626" s="7">
        <f t="shared" si="31"/>
        <v>5585</v>
      </c>
      <c r="E626" s="7">
        <f t="shared" si="33"/>
        <v>35394</v>
      </c>
      <c r="F626" s="7">
        <f>$L$2-SUM(D626,E626)</f>
        <v>9963162</v>
      </c>
      <c r="G626" s="7"/>
      <c r="H626" s="7">
        <f t="shared" si="32"/>
        <v>1.1160083629993784E-2</v>
      </c>
      <c r="I626" s="7"/>
    </row>
    <row r="627" spans="1:9" x14ac:dyDescent="0.25">
      <c r="A627" s="5">
        <v>626</v>
      </c>
      <c r="B627" s="6">
        <v>44523</v>
      </c>
      <c r="C627" s="7">
        <v>755</v>
      </c>
      <c r="D627" s="7">
        <f t="shared" si="31"/>
        <v>5588</v>
      </c>
      <c r="E627" s="7">
        <f t="shared" si="33"/>
        <v>35749</v>
      </c>
      <c r="F627" s="7">
        <f>$L$2-SUM(D627,E627)</f>
        <v>9962804</v>
      </c>
      <c r="G627" s="7"/>
      <c r="H627" s="7">
        <f t="shared" si="32"/>
        <v>1.1105205740020699E-2</v>
      </c>
      <c r="I627" s="7"/>
    </row>
    <row r="628" spans="1:9" x14ac:dyDescent="0.25">
      <c r="A628" s="5">
        <v>627</v>
      </c>
      <c r="B628" s="6">
        <v>44524</v>
      </c>
      <c r="C628" s="7">
        <v>863</v>
      </c>
      <c r="D628" s="7">
        <f t="shared" si="31"/>
        <v>5657</v>
      </c>
      <c r="E628" s="7">
        <f t="shared" si="33"/>
        <v>36079</v>
      </c>
      <c r="F628" s="7">
        <f>$L$2-SUM(D628,E628)</f>
        <v>9962405</v>
      </c>
      <c r="G628" s="7"/>
      <c r="H628" s="7">
        <f t="shared" si="32"/>
        <v>1.2860666869924332E-2</v>
      </c>
      <c r="I628" s="7"/>
    </row>
    <row r="629" spans="1:9" x14ac:dyDescent="0.25">
      <c r="A629" s="5">
        <v>628</v>
      </c>
      <c r="B629" s="6">
        <v>44525</v>
      </c>
      <c r="C629" s="7">
        <v>854</v>
      </c>
      <c r="D629" s="7">
        <f t="shared" si="31"/>
        <v>5568</v>
      </c>
      <c r="E629" s="7">
        <f t="shared" si="33"/>
        <v>36663</v>
      </c>
      <c r="F629" s="7">
        <f>$L$2-SUM(D629,E629)</f>
        <v>9961910</v>
      </c>
      <c r="G629" s="7"/>
      <c r="H629" s="7">
        <f t="shared" si="32"/>
        <v>9.7918882797370654E-3</v>
      </c>
      <c r="I629" s="7"/>
    </row>
    <row r="630" spans="1:9" x14ac:dyDescent="0.25">
      <c r="A630" s="5">
        <v>629</v>
      </c>
      <c r="B630" s="6">
        <v>44526</v>
      </c>
      <c r="C630" s="7">
        <v>863</v>
      </c>
      <c r="D630" s="7">
        <f t="shared" si="31"/>
        <v>5526</v>
      </c>
      <c r="E630" s="7">
        <f t="shared" si="33"/>
        <v>37277</v>
      </c>
      <c r="F630" s="7">
        <f>$L$2-SUM(D630,E630)</f>
        <v>9961338</v>
      </c>
      <c r="G630" s="7"/>
      <c r="H630" s="7">
        <f t="shared" si="32"/>
        <v>7.8064221906269278E-3</v>
      </c>
      <c r="I630" s="7"/>
    </row>
    <row r="631" spans="1:9" x14ac:dyDescent="0.25">
      <c r="A631" s="5">
        <v>630</v>
      </c>
      <c r="B631" s="6">
        <v>44527</v>
      </c>
      <c r="C631" s="7">
        <v>676</v>
      </c>
      <c r="D631" s="7">
        <f t="shared" si="31"/>
        <v>5421</v>
      </c>
      <c r="E631" s="7">
        <f t="shared" si="33"/>
        <v>37907</v>
      </c>
      <c r="F631" s="7">
        <f>$L$2-SUM(D631,E631)</f>
        <v>9960813</v>
      </c>
      <c r="G631" s="7"/>
      <c r="H631" s="7">
        <f t="shared" si="32"/>
        <v>3.9834331389980741E-3</v>
      </c>
      <c r="I631" s="7"/>
    </row>
    <row r="632" spans="1:9" x14ac:dyDescent="0.25">
      <c r="A632" s="5">
        <v>631</v>
      </c>
      <c r="B632" s="6">
        <v>44528</v>
      </c>
      <c r="C632" s="7">
        <v>494</v>
      </c>
      <c r="D632" s="7">
        <f t="shared" si="31"/>
        <v>5388</v>
      </c>
      <c r="E632" s="7">
        <f t="shared" si="33"/>
        <v>37935</v>
      </c>
      <c r="F632" s="7">
        <f>$L$2-SUM(D632,E632)</f>
        <v>9960818</v>
      </c>
      <c r="G632" s="7"/>
      <c r="H632" s="7">
        <f t="shared" si="32"/>
        <v>1.3154079346250165E-2</v>
      </c>
      <c r="I632" s="7"/>
    </row>
    <row r="633" spans="1:9" x14ac:dyDescent="0.25">
      <c r="A633" s="5">
        <v>632</v>
      </c>
      <c r="B633" s="6">
        <v>44529</v>
      </c>
      <c r="C633" s="7">
        <v>774</v>
      </c>
      <c r="D633" s="7">
        <f t="shared" si="31"/>
        <v>5279</v>
      </c>
      <c r="E633" s="7">
        <f t="shared" si="33"/>
        <v>38423</v>
      </c>
      <c r="F633" s="7">
        <f>$L$2-SUM(D633,E633)</f>
        <v>9960439</v>
      </c>
      <c r="G633" s="7"/>
      <c r="H633" s="7">
        <f t="shared" si="32"/>
        <v>1.0280300861463186E-2</v>
      </c>
      <c r="I633" s="7"/>
    </row>
    <row r="634" spans="1:9" x14ac:dyDescent="0.25">
      <c r="A634" s="5">
        <v>633</v>
      </c>
      <c r="B634" s="6">
        <v>44530</v>
      </c>
      <c r="C634" s="7">
        <v>748</v>
      </c>
      <c r="D634" s="7">
        <f t="shared" si="31"/>
        <v>5272</v>
      </c>
      <c r="E634" s="7">
        <f t="shared" si="33"/>
        <v>38781</v>
      </c>
      <c r="F634" s="7">
        <f>$L$2-SUM(D634,E634)</f>
        <v>9960088</v>
      </c>
      <c r="G634" s="7"/>
      <c r="H634" s="7">
        <f t="shared" si="32"/>
        <v>1.0236971712952219E-2</v>
      </c>
      <c r="I634" s="7"/>
    </row>
    <row r="635" spans="1:9" x14ac:dyDescent="0.25">
      <c r="A635" s="5">
        <v>634</v>
      </c>
      <c r="B635" s="6">
        <v>44531</v>
      </c>
      <c r="C635" s="7">
        <v>750</v>
      </c>
      <c r="D635" s="7">
        <f t="shared" si="31"/>
        <v>5159</v>
      </c>
      <c r="E635" s="7">
        <f t="shared" si="33"/>
        <v>39303</v>
      </c>
      <c r="F635" s="7">
        <f>$L$2-SUM(D635,E635)</f>
        <v>9959679</v>
      </c>
      <c r="G635" s="7"/>
      <c r="H635" s="7">
        <f t="shared" si="32"/>
        <v>8.6761824797089281E-3</v>
      </c>
      <c r="I635" s="7"/>
    </row>
    <row r="636" spans="1:9" x14ac:dyDescent="0.25">
      <c r="A636" s="5">
        <v>635</v>
      </c>
      <c r="B636" s="6">
        <v>44532</v>
      </c>
      <c r="C636" s="7">
        <v>903</v>
      </c>
      <c r="D636" s="7">
        <f t="shared" si="31"/>
        <v>5208</v>
      </c>
      <c r="E636" s="7">
        <f t="shared" si="33"/>
        <v>39718</v>
      </c>
      <c r="F636" s="7">
        <f>$L$2-SUM(D636,E636)</f>
        <v>9959215</v>
      </c>
      <c r="G636" s="7"/>
      <c r="H636" s="7">
        <f t="shared" si="32"/>
        <v>1.1052923107910772E-2</v>
      </c>
      <c r="I636" s="7"/>
    </row>
    <row r="637" spans="1:9" x14ac:dyDescent="0.25">
      <c r="A637" s="5">
        <v>636</v>
      </c>
      <c r="B637" s="6">
        <v>44533</v>
      </c>
      <c r="C637" s="7">
        <v>811</v>
      </c>
      <c r="D637" s="7">
        <f t="shared" si="31"/>
        <v>5156</v>
      </c>
      <c r="E637" s="7">
        <f t="shared" si="33"/>
        <v>40269</v>
      </c>
      <c r="F637" s="7">
        <f>$L$2-SUM(D637,E637)</f>
        <v>9958716</v>
      </c>
      <c r="G637" s="7"/>
      <c r="H637" s="7">
        <f t="shared" si="32"/>
        <v>7.7478954034120541E-3</v>
      </c>
      <c r="I637" s="7"/>
    </row>
    <row r="638" spans="1:9" x14ac:dyDescent="0.25">
      <c r="A638" s="5">
        <v>637</v>
      </c>
      <c r="B638" s="6">
        <v>44534</v>
      </c>
      <c r="C638" s="7">
        <v>827</v>
      </c>
      <c r="D638" s="7">
        <f t="shared" si="31"/>
        <v>5307</v>
      </c>
      <c r="E638" s="7">
        <f t="shared" si="33"/>
        <v>40797</v>
      </c>
      <c r="F638" s="7">
        <f>$L$2-SUM(D638,E638)</f>
        <v>9958037</v>
      </c>
      <c r="G638" s="7"/>
      <c r="H638" s="7">
        <f t="shared" si="32"/>
        <v>3.6277177243424761E-3</v>
      </c>
      <c r="I638" s="7"/>
    </row>
    <row r="639" spans="1:9" x14ac:dyDescent="0.25">
      <c r="A639" s="5">
        <v>638</v>
      </c>
      <c r="B639" s="6">
        <v>44535</v>
      </c>
      <c r="C639" s="7">
        <v>543</v>
      </c>
      <c r="D639" s="7">
        <f t="shared" si="31"/>
        <v>5356</v>
      </c>
      <c r="E639" s="7">
        <f t="shared" si="33"/>
        <v>41124</v>
      </c>
      <c r="F639" s="7">
        <f>$L$2-SUM(D639,E639)</f>
        <v>9957661</v>
      </c>
      <c r="G639" s="7"/>
      <c r="H639" s="7">
        <f t="shared" si="32"/>
        <v>4.0608890185779593E-3</v>
      </c>
      <c r="I639" s="7"/>
    </row>
    <row r="640" spans="1:9" x14ac:dyDescent="0.25">
      <c r="A640" s="5">
        <v>639</v>
      </c>
      <c r="B640" s="6">
        <v>44536</v>
      </c>
      <c r="C640" s="7">
        <v>972</v>
      </c>
      <c r="D640" s="7">
        <f t="shared" si="31"/>
        <v>5554</v>
      </c>
      <c r="E640" s="7">
        <f t="shared" si="33"/>
        <v>41508</v>
      </c>
      <c r="F640" s="7">
        <f>$L$2-SUM(D640,E640)</f>
        <v>9957079</v>
      </c>
      <c r="G640" s="7"/>
      <c r="H640" s="7">
        <f t="shared" si="32"/>
        <v>9.3957791269152942E-3</v>
      </c>
      <c r="I640" s="7"/>
    </row>
    <row r="641" spans="1:9" x14ac:dyDescent="0.25">
      <c r="A641" s="5">
        <v>640</v>
      </c>
      <c r="B641" s="6">
        <v>44537</v>
      </c>
      <c r="C641" s="7">
        <v>851</v>
      </c>
      <c r="D641" s="7">
        <f t="shared" si="31"/>
        <v>5657</v>
      </c>
      <c r="E641" s="7">
        <f t="shared" si="33"/>
        <v>41882</v>
      </c>
      <c r="F641" s="7">
        <f>$L$2-SUM(D641,E641)</f>
        <v>9956602</v>
      </c>
      <c r="G641" s="7"/>
      <c r="H641" s="7">
        <f t="shared" si="32"/>
        <v>8.9298505324483073E-3</v>
      </c>
      <c r="I641" s="7"/>
    </row>
    <row r="642" spans="1:9" x14ac:dyDescent="0.25">
      <c r="A642" s="5">
        <v>641</v>
      </c>
      <c r="B642" s="6">
        <v>44538</v>
      </c>
      <c r="C642" s="7">
        <v>520</v>
      </c>
      <c r="D642" s="7">
        <f t="shared" si="31"/>
        <v>5427</v>
      </c>
      <c r="E642" s="7">
        <f t="shared" si="33"/>
        <v>42276</v>
      </c>
      <c r="F642" s="7">
        <f>$L$2-SUM(D642,E642)</f>
        <v>9956438</v>
      </c>
      <c r="G642" s="7"/>
      <c r="H642" s="7">
        <f t="shared" si="32"/>
        <v>8.4208534393036237E-3</v>
      </c>
      <c r="I642" s="7"/>
    </row>
    <row r="643" spans="1:9" x14ac:dyDescent="0.25">
      <c r="A643" s="5">
        <v>642</v>
      </c>
      <c r="B643" s="6">
        <v>44539</v>
      </c>
      <c r="C643" s="7">
        <v>845</v>
      </c>
      <c r="D643" s="7">
        <f t="shared" si="31"/>
        <v>5369</v>
      </c>
      <c r="E643" s="7">
        <f t="shared" si="33"/>
        <v>42803</v>
      </c>
      <c r="F643" s="7">
        <f>$L$2-SUM(D643,E643)</f>
        <v>9955969</v>
      </c>
      <c r="G643" s="7"/>
      <c r="H643" s="7">
        <f t="shared" si="32"/>
        <v>8.7844309978272559E-3</v>
      </c>
      <c r="I643" s="7"/>
    </row>
    <row r="644" spans="1:9" x14ac:dyDescent="0.25">
      <c r="A644" s="5">
        <v>643</v>
      </c>
      <c r="B644" s="6">
        <v>44540</v>
      </c>
      <c r="C644" s="7">
        <v>833</v>
      </c>
      <c r="D644" s="7">
        <f t="shared" si="31"/>
        <v>5391</v>
      </c>
      <c r="E644" s="7">
        <f t="shared" si="33"/>
        <v>43244</v>
      </c>
      <c r="F644" s="7">
        <f>$L$2-SUM(D644,E644)</f>
        <v>9955506</v>
      </c>
      <c r="G644" s="7"/>
      <c r="H644" s="7">
        <f t="shared" si="32"/>
        <v>8.556100268245305E-3</v>
      </c>
      <c r="I644" s="7"/>
    </row>
    <row r="645" spans="1:9" x14ac:dyDescent="0.25">
      <c r="A645" s="5">
        <v>644</v>
      </c>
      <c r="B645" s="13">
        <v>44541</v>
      </c>
      <c r="C645" s="14">
        <v>790</v>
      </c>
      <c r="D645" s="14">
        <f t="shared" si="31"/>
        <v>5354</v>
      </c>
      <c r="E645" s="15">
        <f t="shared" si="33"/>
        <v>43889</v>
      </c>
      <c r="F645" s="14">
        <f>$L$2-SUM(D645,E645)</f>
        <v>9954898</v>
      </c>
      <c r="G645" s="7">
        <f>IF(MOD(A645,15)=14,SUM(C645:C659)/SUM(D630:D644),"")</f>
        <v>0.16924319622219461</v>
      </c>
      <c r="H645" s="7">
        <f t="shared" si="32"/>
        <v>4.1468249447469754E-3</v>
      </c>
      <c r="I645" s="7">
        <f>IF(MOD(A645,15)=14,AVERAGE(H645:H659),"")</f>
        <v>7.1691192031539683E-3</v>
      </c>
    </row>
    <row r="646" spans="1:9" x14ac:dyDescent="0.25">
      <c r="A646" s="5">
        <v>645</v>
      </c>
      <c r="B646" s="6">
        <v>44542</v>
      </c>
      <c r="C646" s="7">
        <v>619</v>
      </c>
      <c r="D646" s="7">
        <f t="shared" si="31"/>
        <v>5430</v>
      </c>
      <c r="E646" s="7">
        <f t="shared" si="33"/>
        <v>44058</v>
      </c>
      <c r="F646" s="7">
        <f>$L$2-SUM(D646,E646)</f>
        <v>9954653</v>
      </c>
      <c r="G646" s="7" t="str">
        <f t="shared" ref="G646:G709" si="34">IF(MOD(A646,15)=14,SUM(C646:C660)/SUM(D631:D645),"")</f>
        <v/>
      </c>
      <c r="H646" s="7">
        <f t="shared" si="32"/>
        <v>8.4888102047301281E-3</v>
      </c>
      <c r="I646" s="7" t="str">
        <f t="shared" ref="I646:I709" si="35">IF(MOD(A646,15)=14,AVERAGE(H646:H660),"")</f>
        <v/>
      </c>
    </row>
    <row r="647" spans="1:9" x14ac:dyDescent="0.25">
      <c r="A647" s="5">
        <v>646</v>
      </c>
      <c r="B647" s="6">
        <v>44543</v>
      </c>
      <c r="C647" s="7">
        <v>788</v>
      </c>
      <c r="D647" s="7">
        <f t="shared" si="31"/>
        <v>5246</v>
      </c>
      <c r="E647" s="7">
        <f t="shared" si="33"/>
        <v>44668</v>
      </c>
      <c r="F647" s="7">
        <f>$L$2-SUM(D647,E647)</f>
        <v>9954227</v>
      </c>
      <c r="G647" s="7" t="str">
        <f t="shared" si="34"/>
        <v/>
      </c>
      <c r="H647" s="7">
        <f t="shared" si="32"/>
        <v>8.1042356944568822E-3</v>
      </c>
      <c r="I647" s="7" t="str">
        <f t="shared" si="35"/>
        <v/>
      </c>
    </row>
    <row r="648" spans="1:9" x14ac:dyDescent="0.25">
      <c r="A648" s="5">
        <v>647</v>
      </c>
      <c r="B648" s="6">
        <v>44544</v>
      </c>
      <c r="C648" s="7">
        <v>764</v>
      </c>
      <c r="D648" s="7">
        <f t="shared" si="31"/>
        <v>5159</v>
      </c>
      <c r="E648" s="7">
        <f t="shared" si="33"/>
        <v>45186</v>
      </c>
      <c r="F648" s="7">
        <f>$L$2-SUM(D648,E648)</f>
        <v>9953796</v>
      </c>
      <c r="G648" s="7" t="str">
        <f t="shared" si="34"/>
        <v/>
      </c>
      <c r="H648" s="7">
        <f t="shared" si="32"/>
        <v>7.3695392378170226E-3</v>
      </c>
      <c r="I648" s="7" t="str">
        <f t="shared" si="35"/>
        <v/>
      </c>
    </row>
    <row r="649" spans="1:9" x14ac:dyDescent="0.25">
      <c r="A649" s="5">
        <v>648</v>
      </c>
      <c r="B649" s="6">
        <v>44545</v>
      </c>
      <c r="C649" s="7">
        <v>865</v>
      </c>
      <c r="D649" s="7">
        <f t="shared" ref="D649:D712" si="36">SUM(C643:C649)</f>
        <v>5504</v>
      </c>
      <c r="E649" s="7">
        <f t="shared" si="33"/>
        <v>45329</v>
      </c>
      <c r="F649" s="7">
        <f>$L$2-SUM(D649,E649)</f>
        <v>9953308</v>
      </c>
      <c r="G649" s="7" t="str">
        <f t="shared" si="34"/>
        <v/>
      </c>
      <c r="H649" s="7">
        <f t="shared" si="32"/>
        <v>8.3169714752145425E-3</v>
      </c>
      <c r="I649" s="7" t="str">
        <f t="shared" si="35"/>
        <v/>
      </c>
    </row>
    <row r="650" spans="1:9" x14ac:dyDescent="0.25">
      <c r="A650" s="5">
        <v>649</v>
      </c>
      <c r="B650" s="6">
        <v>44546</v>
      </c>
      <c r="C650" s="7">
        <v>1073</v>
      </c>
      <c r="D650" s="7">
        <f t="shared" si="36"/>
        <v>5732</v>
      </c>
      <c r="E650" s="7">
        <f t="shared" si="33"/>
        <v>45812</v>
      </c>
      <c r="F650" s="7">
        <f>$L$2-SUM(D650,E650)</f>
        <v>9952597</v>
      </c>
      <c r="G650" s="7" t="str">
        <f t="shared" si="34"/>
        <v/>
      </c>
      <c r="H650" s="7">
        <f t="shared" si="32"/>
        <v>7.9018597747315122E-3</v>
      </c>
      <c r="I650" s="7" t="str">
        <f t="shared" si="35"/>
        <v/>
      </c>
    </row>
    <row r="651" spans="1:9" x14ac:dyDescent="0.25">
      <c r="A651" s="5">
        <v>650</v>
      </c>
      <c r="B651" s="6">
        <v>44547</v>
      </c>
      <c r="C651" s="7">
        <v>985</v>
      </c>
      <c r="D651" s="7">
        <f t="shared" si="36"/>
        <v>5884</v>
      </c>
      <c r="E651" s="7">
        <f t="shared" si="33"/>
        <v>46331</v>
      </c>
      <c r="F651" s="7">
        <f>$L$2-SUM(D651,E651)</f>
        <v>9951926</v>
      </c>
      <c r="G651" s="7" t="str">
        <f t="shared" si="34"/>
        <v/>
      </c>
      <c r="H651" s="7">
        <f t="shared" si="32"/>
        <v>6.7773197211370359E-3</v>
      </c>
      <c r="I651" s="7" t="str">
        <f t="shared" si="35"/>
        <v/>
      </c>
    </row>
    <row r="652" spans="1:9" x14ac:dyDescent="0.25">
      <c r="A652" s="5">
        <v>651</v>
      </c>
      <c r="B652" s="6">
        <v>44548</v>
      </c>
      <c r="C652" s="7">
        <v>842</v>
      </c>
      <c r="D652" s="7">
        <f t="shared" si="36"/>
        <v>5936</v>
      </c>
      <c r="E652" s="7">
        <f t="shared" si="33"/>
        <v>46969</v>
      </c>
      <c r="F652" s="7">
        <f>$L$2-SUM(D652,E652)</f>
        <v>9951236</v>
      </c>
      <c r="G652" s="7" t="str">
        <f t="shared" si="34"/>
        <v/>
      </c>
      <c r="H652" s="7">
        <f t="shared" si="32"/>
        <v>3.2361770529498179E-3</v>
      </c>
      <c r="I652" s="7" t="str">
        <f t="shared" si="35"/>
        <v/>
      </c>
    </row>
    <row r="653" spans="1:9" x14ac:dyDescent="0.25">
      <c r="A653" s="5">
        <v>652</v>
      </c>
      <c r="B653" s="6">
        <v>44549</v>
      </c>
      <c r="C653" s="7">
        <v>550</v>
      </c>
      <c r="D653" s="7">
        <f t="shared" si="36"/>
        <v>5867</v>
      </c>
      <c r="E653" s="7">
        <f t="shared" si="33"/>
        <v>47146</v>
      </c>
      <c r="F653" s="7">
        <f>$L$2-SUM(D653,E653)</f>
        <v>9951128</v>
      </c>
      <c r="G653" s="7" t="str">
        <f t="shared" si="34"/>
        <v/>
      </c>
      <c r="H653" s="7">
        <f t="shared" si="32"/>
        <v>9.3751325669197815E-3</v>
      </c>
      <c r="I653" s="7" t="str">
        <f t="shared" si="35"/>
        <v/>
      </c>
    </row>
    <row r="654" spans="1:9" x14ac:dyDescent="0.25">
      <c r="A654" s="5">
        <v>653</v>
      </c>
      <c r="B654" s="6">
        <v>44550</v>
      </c>
      <c r="C654" s="7">
        <v>1035</v>
      </c>
      <c r="D654" s="7">
        <f t="shared" si="36"/>
        <v>6114</v>
      </c>
      <c r="E654" s="7">
        <f t="shared" si="33"/>
        <v>47568</v>
      </c>
      <c r="F654" s="7">
        <f>$L$2-SUM(D654,E654)</f>
        <v>9950459</v>
      </c>
      <c r="G654" s="7" t="str">
        <f t="shared" si="34"/>
        <v/>
      </c>
      <c r="H654" s="7">
        <f t="shared" si="32"/>
        <v>7.6942482341069629E-3</v>
      </c>
      <c r="I654" s="7" t="str">
        <f t="shared" si="35"/>
        <v/>
      </c>
    </row>
    <row r="655" spans="1:9" x14ac:dyDescent="0.25">
      <c r="A655" s="5">
        <v>654</v>
      </c>
      <c r="B655" s="6">
        <v>44551</v>
      </c>
      <c r="C655" s="7">
        <v>1073</v>
      </c>
      <c r="D655" s="7">
        <f t="shared" si="36"/>
        <v>6423</v>
      </c>
      <c r="E655" s="7">
        <f t="shared" si="33"/>
        <v>47794</v>
      </c>
      <c r="F655" s="7">
        <f>$L$2-SUM(D655,E655)</f>
        <v>9949924</v>
      </c>
      <c r="G655" s="7" t="str">
        <f t="shared" si="34"/>
        <v/>
      </c>
      <c r="H655" s="7">
        <f t="shared" si="32"/>
        <v>1.1256643093275306E-2</v>
      </c>
      <c r="I655" s="7" t="str">
        <f t="shared" si="35"/>
        <v/>
      </c>
    </row>
    <row r="656" spans="1:9" x14ac:dyDescent="0.25">
      <c r="A656" s="5">
        <v>655</v>
      </c>
      <c r="B656" s="6">
        <v>44552</v>
      </c>
      <c r="C656" s="7">
        <v>1073</v>
      </c>
      <c r="D656" s="7">
        <f t="shared" si="36"/>
        <v>6631</v>
      </c>
      <c r="E656" s="7">
        <f t="shared" si="33"/>
        <v>48311</v>
      </c>
      <c r="F656" s="7">
        <f>$L$2-SUM(D656,E656)</f>
        <v>9949199</v>
      </c>
      <c r="G656" s="7" t="str">
        <f t="shared" si="34"/>
        <v/>
      </c>
      <c r="H656" s="7">
        <f t="shared" si="32"/>
        <v>7.2033284345180189E-3</v>
      </c>
      <c r="I656" s="7" t="str">
        <f t="shared" si="35"/>
        <v/>
      </c>
    </row>
    <row r="657" spans="1:9" x14ac:dyDescent="0.25">
      <c r="A657" s="5">
        <v>656</v>
      </c>
      <c r="B657" s="6">
        <v>44553</v>
      </c>
      <c r="C657" s="7">
        <v>1274</v>
      </c>
      <c r="D657" s="7">
        <f t="shared" si="36"/>
        <v>6832</v>
      </c>
      <c r="E657" s="7">
        <f t="shared" si="33"/>
        <v>49008</v>
      </c>
      <c r="F657" s="7">
        <f>$L$2-SUM(D657,E657)</f>
        <v>9948301</v>
      </c>
      <c r="G657" s="7" t="str">
        <f t="shared" si="34"/>
        <v/>
      </c>
      <c r="H657" s="7">
        <f t="shared" si="32"/>
        <v>7.6722167809337247E-3</v>
      </c>
      <c r="I657" s="7" t="str">
        <f t="shared" si="35"/>
        <v/>
      </c>
    </row>
    <row r="658" spans="1:9" x14ac:dyDescent="0.25">
      <c r="A658" s="5">
        <v>657</v>
      </c>
      <c r="B658" s="6">
        <v>44554</v>
      </c>
      <c r="C658" s="7">
        <v>1207</v>
      </c>
      <c r="D658" s="7">
        <f t="shared" si="36"/>
        <v>7054</v>
      </c>
      <c r="E658" s="7">
        <f t="shared" si="33"/>
        <v>49636</v>
      </c>
      <c r="F658" s="7">
        <f>$L$2-SUM(D658,E658)</f>
        <v>9947451</v>
      </c>
      <c r="G658" s="7" t="str">
        <f t="shared" si="34"/>
        <v/>
      </c>
      <c r="H658" s="7">
        <f t="shared" si="32"/>
        <v>7.1923603835925536E-3</v>
      </c>
      <c r="I658" s="7" t="str">
        <f t="shared" si="35"/>
        <v/>
      </c>
    </row>
    <row r="659" spans="1:9" x14ac:dyDescent="0.25">
      <c r="A659" s="5">
        <v>658</v>
      </c>
      <c r="B659" s="6">
        <v>44555</v>
      </c>
      <c r="C659" s="7">
        <v>681</v>
      </c>
      <c r="D659" s="7">
        <f t="shared" si="36"/>
        <v>6893</v>
      </c>
      <c r="E659" s="7">
        <f t="shared" si="33"/>
        <v>50337</v>
      </c>
      <c r="F659" s="7">
        <f>$L$2-SUM(D659,E659)</f>
        <v>9946911</v>
      </c>
      <c r="G659" s="7" t="str">
        <f t="shared" si="34"/>
        <v/>
      </c>
      <c r="H659" s="7">
        <f t="shared" si="32"/>
        <v>2.8011204481792717E-3</v>
      </c>
      <c r="I659" s="7" t="str">
        <f t="shared" si="35"/>
        <v/>
      </c>
    </row>
    <row r="660" spans="1:9" x14ac:dyDescent="0.25">
      <c r="A660" s="5">
        <v>659</v>
      </c>
      <c r="B660" s="6">
        <v>44556</v>
      </c>
      <c r="C660" s="7">
        <v>768</v>
      </c>
      <c r="D660" s="7">
        <f t="shared" si="36"/>
        <v>7111</v>
      </c>
      <c r="E660" s="7">
        <f t="shared" si="33"/>
        <v>50471</v>
      </c>
      <c r="F660" s="7">
        <f>$L$2-SUM(D660,E660)</f>
        <v>9946559</v>
      </c>
      <c r="G660" s="7">
        <f t="shared" si="34"/>
        <v>0.94681264504380458</v>
      </c>
      <c r="H660" s="7">
        <f t="shared" si="32"/>
        <v>8.2423569970874362E-3</v>
      </c>
      <c r="I660" s="7">
        <f t="shared" si="35"/>
        <v>6.9006535602361757E-3</v>
      </c>
    </row>
    <row r="661" spans="1:9" x14ac:dyDescent="0.25">
      <c r="A661" s="5">
        <v>660</v>
      </c>
      <c r="B661" s="6">
        <v>44557</v>
      </c>
      <c r="C661" s="7">
        <v>2109</v>
      </c>
      <c r="D661" s="7">
        <f t="shared" si="36"/>
        <v>8185</v>
      </c>
      <c r="E661" s="7">
        <f t="shared" si="33"/>
        <v>51117</v>
      </c>
      <c r="F661" s="7">
        <f>$L$2-SUM(D661,E661)</f>
        <v>9944839</v>
      </c>
      <c r="G661" s="7" t="str">
        <f t="shared" si="34"/>
        <v/>
      </c>
      <c r="H661" s="7">
        <f t="shared" si="32"/>
        <v>7.6099927617035426E-3</v>
      </c>
      <c r="I661" s="7" t="str">
        <f t="shared" si="35"/>
        <v/>
      </c>
    </row>
    <row r="662" spans="1:9" x14ac:dyDescent="0.25">
      <c r="A662" s="5">
        <v>661</v>
      </c>
      <c r="B662" s="6">
        <v>44558</v>
      </c>
      <c r="C662" s="7">
        <v>2694</v>
      </c>
      <c r="D662" s="7">
        <f t="shared" si="36"/>
        <v>9806</v>
      </c>
      <c r="E662" s="7">
        <f t="shared" si="33"/>
        <v>51675</v>
      </c>
      <c r="F662" s="7">
        <f>$L$2-SUM(D662,E662)</f>
        <v>9942660</v>
      </c>
      <c r="G662" s="7" t="str">
        <f t="shared" si="34"/>
        <v/>
      </c>
      <c r="H662" s="7">
        <f t="shared" si="32"/>
        <v>9.9661344944363805E-3</v>
      </c>
      <c r="I662" s="7" t="str">
        <f t="shared" si="35"/>
        <v/>
      </c>
    </row>
    <row r="663" spans="1:9" x14ac:dyDescent="0.25">
      <c r="A663" s="5">
        <v>662</v>
      </c>
      <c r="B663" s="6">
        <v>44559</v>
      </c>
      <c r="C663" s="7">
        <v>2876</v>
      </c>
      <c r="D663" s="7">
        <f t="shared" si="36"/>
        <v>11609</v>
      </c>
      <c r="E663" s="7">
        <f t="shared" si="33"/>
        <v>52381</v>
      </c>
      <c r="F663" s="7">
        <f>$L$2-SUM(D663,E663)</f>
        <v>9940151</v>
      </c>
      <c r="G663" s="7" t="str">
        <f t="shared" si="34"/>
        <v/>
      </c>
      <c r="H663" s="7">
        <f t="shared" si="32"/>
        <v>7.006357266947939E-3</v>
      </c>
      <c r="I663" s="7" t="str">
        <f t="shared" si="35"/>
        <v/>
      </c>
    </row>
    <row r="664" spans="1:9" x14ac:dyDescent="0.25">
      <c r="A664" s="5">
        <v>663</v>
      </c>
      <c r="B664" s="6">
        <v>44560</v>
      </c>
      <c r="C664" s="7">
        <v>3254</v>
      </c>
      <c r="D664" s="7">
        <f t="shared" si="36"/>
        <v>13589</v>
      </c>
      <c r="E664" s="7">
        <f t="shared" si="33"/>
        <v>53273</v>
      </c>
      <c r="F664" s="7">
        <f>$L$2-SUM(D664,E664)</f>
        <v>9937279</v>
      </c>
      <c r="G664" s="7" t="str">
        <f t="shared" si="34"/>
        <v/>
      </c>
      <c r="H664" s="7">
        <f t="shared" si="32"/>
        <v>7.1706117545473321E-3</v>
      </c>
      <c r="I664" s="7" t="str">
        <f t="shared" si="35"/>
        <v/>
      </c>
    </row>
    <row r="665" spans="1:9" x14ac:dyDescent="0.25">
      <c r="A665" s="5">
        <v>664</v>
      </c>
      <c r="B665" s="6">
        <v>44561</v>
      </c>
      <c r="C665" s="7">
        <v>2690</v>
      </c>
      <c r="D665" s="7">
        <f t="shared" si="36"/>
        <v>15072</v>
      </c>
      <c r="E665" s="7">
        <f t="shared" si="33"/>
        <v>54129</v>
      </c>
      <c r="F665" s="7">
        <f>$L$2-SUM(D665,E665)</f>
        <v>9934940</v>
      </c>
      <c r="G665" s="7" t="str">
        <f t="shared" si="34"/>
        <v/>
      </c>
      <c r="H665" s="7">
        <f t="shared" si="32"/>
        <v>6.4845092279554395E-3</v>
      </c>
      <c r="I665" s="7" t="str">
        <f t="shared" si="35"/>
        <v/>
      </c>
    </row>
    <row r="666" spans="1:9" x14ac:dyDescent="0.25">
      <c r="A666" s="5">
        <v>665</v>
      </c>
      <c r="B666" s="6">
        <v>44562</v>
      </c>
      <c r="C666" s="7">
        <v>1648</v>
      </c>
      <c r="D666" s="7">
        <f t="shared" si="36"/>
        <v>16039</v>
      </c>
      <c r="E666" s="7">
        <f t="shared" si="33"/>
        <v>54657</v>
      </c>
      <c r="F666" s="7">
        <f>$L$2-SUM(D666,E666)</f>
        <v>9933445</v>
      </c>
      <c r="G666" s="7" t="str">
        <f t="shared" si="34"/>
        <v/>
      </c>
      <c r="H666" s="7">
        <f t="shared" si="32"/>
        <v>2.7992754816400459E-3</v>
      </c>
      <c r="I666" s="7" t="str">
        <f t="shared" si="35"/>
        <v/>
      </c>
    </row>
    <row r="667" spans="1:9" x14ac:dyDescent="0.25">
      <c r="A667" s="5">
        <v>666</v>
      </c>
      <c r="B667" s="6">
        <v>44563</v>
      </c>
      <c r="C667" s="7">
        <v>2199</v>
      </c>
      <c r="D667" s="7">
        <f t="shared" si="36"/>
        <v>17470</v>
      </c>
      <c r="E667" s="7">
        <f t="shared" si="33"/>
        <v>54937</v>
      </c>
      <c r="F667" s="7">
        <f>$L$2-SUM(D667,E667)</f>
        <v>9931734</v>
      </c>
      <c r="G667" s="7" t="str">
        <f t="shared" si="34"/>
        <v/>
      </c>
      <c r="H667" s="7">
        <f t="shared" si="32"/>
        <v>8.8829022334674258E-3</v>
      </c>
      <c r="I667" s="7" t="str">
        <f t="shared" si="35"/>
        <v/>
      </c>
    </row>
    <row r="668" spans="1:9" x14ac:dyDescent="0.25">
      <c r="A668" s="5">
        <v>667</v>
      </c>
      <c r="B668" s="6">
        <v>44564</v>
      </c>
      <c r="C668" s="7">
        <v>6153</v>
      </c>
      <c r="D668" s="7">
        <f t="shared" si="36"/>
        <v>21514</v>
      </c>
      <c r="E668" s="7">
        <f t="shared" si="33"/>
        <v>56492</v>
      </c>
      <c r="F668" s="7">
        <f>$L$2-SUM(D668,E668)</f>
        <v>9926135</v>
      </c>
      <c r="G668" s="7" t="str">
        <f t="shared" si="34"/>
        <v/>
      </c>
      <c r="H668" s="7">
        <f t="shared" si="32"/>
        <v>9.8066982935636898E-3</v>
      </c>
      <c r="I668" s="7" t="str">
        <f t="shared" si="35"/>
        <v/>
      </c>
    </row>
    <row r="669" spans="1:9" x14ac:dyDescent="0.25">
      <c r="A669" s="5">
        <v>668</v>
      </c>
      <c r="B669" s="6">
        <v>44565</v>
      </c>
      <c r="C669" s="7">
        <v>7919</v>
      </c>
      <c r="D669" s="7">
        <f t="shared" si="36"/>
        <v>26739</v>
      </c>
      <c r="E669" s="7">
        <f t="shared" si="33"/>
        <v>58779</v>
      </c>
      <c r="F669" s="7">
        <f>$L$2-SUM(D669,E669)</f>
        <v>9918623</v>
      </c>
      <c r="G669" s="7" t="str">
        <f t="shared" si="34"/>
        <v/>
      </c>
      <c r="H669" s="7">
        <f t="shared" si="32"/>
        <v>6.9242416509297539E-3</v>
      </c>
      <c r="I669" s="7" t="str">
        <f t="shared" si="35"/>
        <v/>
      </c>
    </row>
    <row r="670" spans="1:9" x14ac:dyDescent="0.25">
      <c r="A670" s="5">
        <v>669</v>
      </c>
      <c r="B670" s="6">
        <v>44566</v>
      </c>
      <c r="C670" s="7">
        <v>9455</v>
      </c>
      <c r="D670" s="7">
        <f t="shared" si="36"/>
        <v>33318</v>
      </c>
      <c r="E670" s="7">
        <f t="shared" si="33"/>
        <v>61157</v>
      </c>
      <c r="F670" s="7">
        <f>$L$2-SUM(D670,E670)</f>
        <v>9909666</v>
      </c>
      <c r="G670" s="7" t="str">
        <f t="shared" si="34"/>
        <v/>
      </c>
      <c r="H670" s="7">
        <f t="shared" si="32"/>
        <v>8.1429762741795711E-3</v>
      </c>
      <c r="I670" s="7" t="str">
        <f t="shared" si="35"/>
        <v/>
      </c>
    </row>
    <row r="671" spans="1:9" x14ac:dyDescent="0.25">
      <c r="A671" s="5">
        <v>670</v>
      </c>
      <c r="B671" s="6">
        <v>44567</v>
      </c>
      <c r="C671" s="7">
        <v>11838</v>
      </c>
      <c r="D671" s="7">
        <f t="shared" si="36"/>
        <v>41902</v>
      </c>
      <c r="E671" s="7">
        <f t="shared" si="33"/>
        <v>63997</v>
      </c>
      <c r="F671" s="7">
        <f>$L$2-SUM(D671,E671)</f>
        <v>9898242</v>
      </c>
      <c r="G671" s="7" t="str">
        <f t="shared" si="34"/>
        <v/>
      </c>
      <c r="H671" s="7">
        <f t="shared" si="32"/>
        <v>6.4690532368704779E-3</v>
      </c>
      <c r="I671" s="7" t="str">
        <f t="shared" si="35"/>
        <v/>
      </c>
    </row>
    <row r="672" spans="1:9" x14ac:dyDescent="0.25">
      <c r="A672" s="5">
        <v>671</v>
      </c>
      <c r="B672" s="6">
        <v>44568</v>
      </c>
      <c r="C672" s="7">
        <v>11506</v>
      </c>
      <c r="D672" s="7">
        <f t="shared" si="36"/>
        <v>50718</v>
      </c>
      <c r="E672" s="7">
        <f t="shared" si="33"/>
        <v>66345</v>
      </c>
      <c r="F672" s="7">
        <f>$L$2-SUM(D672,E672)</f>
        <v>9887078</v>
      </c>
      <c r="G672" s="7" t="str">
        <f t="shared" si="34"/>
        <v/>
      </c>
      <c r="H672" s="7">
        <f t="shared" si="32"/>
        <v>5.1548722586479767E-3</v>
      </c>
      <c r="I672" s="7" t="str">
        <f t="shared" si="35"/>
        <v/>
      </c>
    </row>
    <row r="673" spans="1:9" x14ac:dyDescent="0.25">
      <c r="A673" s="5">
        <v>672</v>
      </c>
      <c r="B673" s="6">
        <v>44569</v>
      </c>
      <c r="C673" s="7">
        <v>13220</v>
      </c>
      <c r="D673" s="7">
        <f t="shared" si="36"/>
        <v>62290</v>
      </c>
      <c r="E673" s="7">
        <f t="shared" si="33"/>
        <v>67810</v>
      </c>
      <c r="F673" s="7">
        <f>$L$2-SUM(D673,E673)</f>
        <v>9874041</v>
      </c>
      <c r="G673" s="7" t="str">
        <f t="shared" si="34"/>
        <v/>
      </c>
      <c r="H673" s="7">
        <f t="shared" si="32"/>
        <v>2.69871700339183E-3</v>
      </c>
      <c r="I673" s="7" t="str">
        <f t="shared" si="35"/>
        <v/>
      </c>
    </row>
    <row r="674" spans="1:9" x14ac:dyDescent="0.25">
      <c r="A674" s="5">
        <v>673</v>
      </c>
      <c r="B674" s="6">
        <v>44570</v>
      </c>
      <c r="C674" s="7">
        <v>6940</v>
      </c>
      <c r="D674" s="7">
        <f t="shared" si="36"/>
        <v>67031</v>
      </c>
      <c r="E674" s="7">
        <f t="shared" si="33"/>
        <v>69581</v>
      </c>
      <c r="F674" s="7">
        <f>$L$2-SUM(D674,E674)</f>
        <v>9867529</v>
      </c>
      <c r="G674" s="7" t="str">
        <f t="shared" si="34"/>
        <v/>
      </c>
      <c r="H674" s="7">
        <f t="shared" si="32"/>
        <v>6.1511044681737828E-3</v>
      </c>
      <c r="I674" s="7" t="str">
        <f t="shared" si="35"/>
        <v/>
      </c>
    </row>
    <row r="675" spans="1:9" x14ac:dyDescent="0.25">
      <c r="A675" s="5">
        <v>674</v>
      </c>
      <c r="B675" s="6">
        <v>44571</v>
      </c>
      <c r="C675" s="7">
        <v>21157</v>
      </c>
      <c r="D675" s="7">
        <f t="shared" si="36"/>
        <v>82035</v>
      </c>
      <c r="E675" s="7">
        <f t="shared" si="33"/>
        <v>75204</v>
      </c>
      <c r="F675" s="7">
        <f>$L$2-SUM(D675,E675)</f>
        <v>9846902</v>
      </c>
      <c r="G675" s="7">
        <f t="shared" si="34"/>
        <v>0.83377444438645798</v>
      </c>
      <c r="H675" s="7">
        <f t="shared" ref="H675:H738" si="37">C578/E675</f>
        <v>7.0474974735386412E-3</v>
      </c>
      <c r="I675" s="7">
        <f t="shared" si="35"/>
        <v>2.8984720146853428E-3</v>
      </c>
    </row>
    <row r="676" spans="1:9" x14ac:dyDescent="0.25">
      <c r="A676" s="5">
        <v>675</v>
      </c>
      <c r="B676" s="6">
        <v>44572</v>
      </c>
      <c r="C676" s="7">
        <v>20121</v>
      </c>
      <c r="D676" s="7">
        <f t="shared" si="36"/>
        <v>94237</v>
      </c>
      <c r="E676" s="7">
        <f t="shared" ref="E676:E739" si="38">SUM(C580:C669)</f>
        <v>82667</v>
      </c>
      <c r="F676" s="7">
        <f>$L$2-SUM(D676,E676)</f>
        <v>9827237</v>
      </c>
      <c r="G676" s="7" t="str">
        <f t="shared" si="34"/>
        <v/>
      </c>
      <c r="H676" s="7">
        <f t="shared" si="37"/>
        <v>5.5161067898919763E-3</v>
      </c>
      <c r="I676" s="7" t="str">
        <f t="shared" si="35"/>
        <v/>
      </c>
    </row>
    <row r="677" spans="1:9" x14ac:dyDescent="0.25">
      <c r="A677" s="5">
        <v>676</v>
      </c>
      <c r="B677" s="6">
        <v>44573</v>
      </c>
      <c r="C677" s="7">
        <v>23386</v>
      </c>
      <c r="D677" s="7">
        <f t="shared" si="36"/>
        <v>108168</v>
      </c>
      <c r="E677" s="7">
        <f t="shared" si="38"/>
        <v>91700</v>
      </c>
      <c r="F677" s="7">
        <f>$L$2-SUM(D677,E677)</f>
        <v>9804273</v>
      </c>
      <c r="G677" s="7" t="str">
        <f t="shared" si="34"/>
        <v/>
      </c>
      <c r="H677" s="7">
        <f t="shared" si="37"/>
        <v>4.6019629225736098E-3</v>
      </c>
      <c r="I677" s="7" t="str">
        <f t="shared" si="35"/>
        <v/>
      </c>
    </row>
    <row r="678" spans="1:9" x14ac:dyDescent="0.25">
      <c r="A678" s="5">
        <v>677</v>
      </c>
      <c r="B678" s="6">
        <v>44574</v>
      </c>
      <c r="C678" s="7">
        <v>24918</v>
      </c>
      <c r="D678" s="7">
        <f t="shared" si="36"/>
        <v>121248</v>
      </c>
      <c r="E678" s="7">
        <f t="shared" si="38"/>
        <v>103242</v>
      </c>
      <c r="F678" s="7">
        <f>$L$2-SUM(D678,E678)</f>
        <v>9779651</v>
      </c>
      <c r="G678" s="7" t="str">
        <f t="shared" si="34"/>
        <v/>
      </c>
      <c r="H678" s="7">
        <f t="shared" si="37"/>
        <v>2.8670502314949342E-3</v>
      </c>
      <c r="I678" s="7" t="str">
        <f t="shared" si="35"/>
        <v/>
      </c>
    </row>
    <row r="679" spans="1:9" x14ac:dyDescent="0.25">
      <c r="A679" s="5">
        <v>678</v>
      </c>
      <c r="B679" s="6">
        <v>44575</v>
      </c>
      <c r="C679" s="7">
        <v>25752</v>
      </c>
      <c r="D679" s="7">
        <f t="shared" si="36"/>
        <v>135494</v>
      </c>
      <c r="E679" s="7">
        <f t="shared" si="38"/>
        <v>114303</v>
      </c>
      <c r="F679" s="7">
        <f>$L$2-SUM(D679,E679)</f>
        <v>9754344</v>
      </c>
      <c r="G679" s="7" t="str">
        <f t="shared" si="34"/>
        <v/>
      </c>
      <c r="H679" s="7">
        <f t="shared" si="37"/>
        <v>3.8931611593746446E-3</v>
      </c>
      <c r="I679" s="7" t="str">
        <f t="shared" si="35"/>
        <v/>
      </c>
    </row>
    <row r="680" spans="1:9" x14ac:dyDescent="0.25">
      <c r="A680" s="5">
        <v>679</v>
      </c>
      <c r="B680" s="6">
        <v>44576</v>
      </c>
      <c r="C680" s="7">
        <v>22847</v>
      </c>
      <c r="D680" s="7">
        <f t="shared" si="36"/>
        <v>145121</v>
      </c>
      <c r="E680" s="7">
        <f t="shared" si="38"/>
        <v>127371</v>
      </c>
      <c r="F680" s="7">
        <f>$L$2-SUM(D680,E680)</f>
        <v>9731649</v>
      </c>
      <c r="G680" s="7" t="str">
        <f t="shared" si="34"/>
        <v/>
      </c>
      <c r="H680" s="7">
        <f t="shared" si="37"/>
        <v>1.1933642665912963E-3</v>
      </c>
      <c r="I680" s="7" t="str">
        <f t="shared" si="35"/>
        <v/>
      </c>
    </row>
    <row r="681" spans="1:9" x14ac:dyDescent="0.25">
      <c r="A681" s="5">
        <v>680</v>
      </c>
      <c r="B681" s="6">
        <v>44577</v>
      </c>
      <c r="C681" s="7">
        <v>10081</v>
      </c>
      <c r="D681" s="7">
        <f t="shared" si="36"/>
        <v>148262</v>
      </c>
      <c r="E681" s="7">
        <f t="shared" si="38"/>
        <v>133844</v>
      </c>
      <c r="F681" s="7">
        <f>$L$2-SUM(D681,E681)</f>
        <v>9722035</v>
      </c>
      <c r="G681" s="7" t="str">
        <f t="shared" si="34"/>
        <v/>
      </c>
      <c r="H681" s="7">
        <f t="shared" si="37"/>
        <v>3.4891366067959714E-3</v>
      </c>
      <c r="I681" s="7" t="str">
        <f t="shared" si="35"/>
        <v/>
      </c>
    </row>
    <row r="682" spans="1:9" x14ac:dyDescent="0.25">
      <c r="A682" s="5">
        <v>681</v>
      </c>
      <c r="B682" s="6">
        <v>44578</v>
      </c>
      <c r="C682" s="7">
        <v>28021</v>
      </c>
      <c r="D682" s="7">
        <f t="shared" si="36"/>
        <v>155126</v>
      </c>
      <c r="E682" s="7">
        <f t="shared" si="38"/>
        <v>154589</v>
      </c>
      <c r="F682" s="7">
        <f>$L$2-SUM(D682,E682)</f>
        <v>9694426</v>
      </c>
      <c r="G682" s="7" t="str">
        <f t="shared" si="34"/>
        <v/>
      </c>
      <c r="H682" s="7">
        <f t="shared" si="37"/>
        <v>2.6651314129724625E-3</v>
      </c>
      <c r="I682" s="7" t="str">
        <f t="shared" si="35"/>
        <v/>
      </c>
    </row>
    <row r="683" spans="1:9" x14ac:dyDescent="0.25">
      <c r="A683" s="5">
        <v>682</v>
      </c>
      <c r="B683" s="6">
        <v>44579</v>
      </c>
      <c r="C683" s="7">
        <v>26797</v>
      </c>
      <c r="D683" s="7">
        <f t="shared" si="36"/>
        <v>161802</v>
      </c>
      <c r="E683" s="7">
        <f t="shared" si="38"/>
        <v>174171</v>
      </c>
      <c r="F683" s="7">
        <f>$L$2-SUM(D683,E683)</f>
        <v>9668168</v>
      </c>
      <c r="G683" s="7" t="str">
        <f t="shared" si="34"/>
        <v/>
      </c>
      <c r="H683" s="7">
        <f t="shared" si="37"/>
        <v>3.0946598457837413E-3</v>
      </c>
      <c r="I683" s="7" t="str">
        <f t="shared" si="35"/>
        <v/>
      </c>
    </row>
    <row r="684" spans="1:9" x14ac:dyDescent="0.25">
      <c r="A684" s="5">
        <v>683</v>
      </c>
      <c r="B684" s="6">
        <v>44580</v>
      </c>
      <c r="C684" s="7">
        <v>27286</v>
      </c>
      <c r="D684" s="7">
        <f t="shared" si="36"/>
        <v>165702</v>
      </c>
      <c r="E684" s="7">
        <f t="shared" si="38"/>
        <v>197143</v>
      </c>
      <c r="F684" s="7">
        <f>$L$2-SUM(D684,E684)</f>
        <v>9641296</v>
      </c>
      <c r="G684" s="7" t="str">
        <f t="shared" si="34"/>
        <v/>
      </c>
      <c r="H684" s="7">
        <f t="shared" si="37"/>
        <v>2.0999984782619722E-3</v>
      </c>
      <c r="I684" s="7" t="str">
        <f t="shared" si="35"/>
        <v/>
      </c>
    </row>
    <row r="685" spans="1:9" x14ac:dyDescent="0.25">
      <c r="A685" s="5">
        <v>684</v>
      </c>
      <c r="B685" s="6">
        <v>44581</v>
      </c>
      <c r="C685" s="7">
        <v>25292</v>
      </c>
      <c r="D685" s="7">
        <f t="shared" si="36"/>
        <v>166076</v>
      </c>
      <c r="E685" s="7">
        <f t="shared" si="38"/>
        <v>221646</v>
      </c>
      <c r="F685" s="7">
        <f>$L$2-SUM(D685,E685)</f>
        <v>9616419</v>
      </c>
      <c r="G685" s="7" t="str">
        <f t="shared" si="34"/>
        <v/>
      </c>
      <c r="H685" s="7">
        <f t="shared" si="37"/>
        <v>1.8723550165579347E-3</v>
      </c>
      <c r="I685" s="7" t="str">
        <f t="shared" si="35"/>
        <v/>
      </c>
    </row>
    <row r="686" spans="1:9" x14ac:dyDescent="0.25">
      <c r="A686" s="5">
        <v>685</v>
      </c>
      <c r="B686" s="6">
        <v>44582</v>
      </c>
      <c r="C686" s="7">
        <v>25554</v>
      </c>
      <c r="D686" s="7">
        <f t="shared" si="36"/>
        <v>165878</v>
      </c>
      <c r="E686" s="7">
        <f t="shared" si="38"/>
        <v>247035</v>
      </c>
      <c r="F686" s="7">
        <f>$L$2-SUM(D686,E686)</f>
        <v>9591228</v>
      </c>
      <c r="G686" s="7" t="str">
        <f t="shared" si="34"/>
        <v/>
      </c>
      <c r="H686" s="7">
        <f t="shared" si="37"/>
        <v>1.469427409071589E-3</v>
      </c>
      <c r="I686" s="7" t="str">
        <f t="shared" si="35"/>
        <v/>
      </c>
    </row>
    <row r="687" spans="1:9" x14ac:dyDescent="0.25">
      <c r="A687" s="5">
        <v>686</v>
      </c>
      <c r="B687" s="6">
        <v>44583</v>
      </c>
      <c r="C687" s="7">
        <v>22487</v>
      </c>
      <c r="D687" s="7">
        <f t="shared" si="36"/>
        <v>165518</v>
      </c>
      <c r="E687" s="7">
        <f t="shared" si="38"/>
        <v>269743</v>
      </c>
      <c r="F687" s="7">
        <f>$L$2-SUM(D687,E687)</f>
        <v>9568880</v>
      </c>
      <c r="G687" s="7" t="str">
        <f t="shared" si="34"/>
        <v/>
      </c>
      <c r="H687" s="7">
        <f t="shared" si="37"/>
        <v>5.1530530912757702E-4</v>
      </c>
      <c r="I687" s="7" t="str">
        <f t="shared" si="35"/>
        <v/>
      </c>
    </row>
    <row r="688" spans="1:9" x14ac:dyDescent="0.25">
      <c r="A688" s="5">
        <v>687</v>
      </c>
      <c r="B688" s="6">
        <v>44584</v>
      </c>
      <c r="C688" s="7">
        <v>10155</v>
      </c>
      <c r="D688" s="7">
        <f t="shared" si="36"/>
        <v>165592</v>
      </c>
      <c r="E688" s="7">
        <f t="shared" si="38"/>
        <v>279324</v>
      </c>
      <c r="F688" s="7">
        <f>$L$2-SUM(D688,E688)</f>
        <v>9559225</v>
      </c>
      <c r="G688" s="7" t="str">
        <f t="shared" si="34"/>
        <v/>
      </c>
      <c r="H688" s="7">
        <f t="shared" si="37"/>
        <v>1.7900359439217538E-3</v>
      </c>
      <c r="I688" s="7" t="str">
        <f t="shared" si="35"/>
        <v/>
      </c>
    </row>
    <row r="689" spans="1:9" x14ac:dyDescent="0.25">
      <c r="A689" s="5">
        <v>688</v>
      </c>
      <c r="B689" s="6">
        <v>44585</v>
      </c>
      <c r="C689" s="7">
        <v>21651</v>
      </c>
      <c r="D689" s="7">
        <f t="shared" si="36"/>
        <v>159222</v>
      </c>
      <c r="E689" s="7">
        <f t="shared" si="38"/>
        <v>306927</v>
      </c>
      <c r="F689" s="7">
        <f>$L$2-SUM(D689,E689)</f>
        <v>9537992</v>
      </c>
      <c r="G689" s="7" t="str">
        <f t="shared" si="34"/>
        <v/>
      </c>
      <c r="H689" s="7">
        <f t="shared" si="37"/>
        <v>1.3618873543220374E-3</v>
      </c>
      <c r="I689" s="7" t="str">
        <f t="shared" si="35"/>
        <v/>
      </c>
    </row>
    <row r="690" spans="1:9" x14ac:dyDescent="0.25">
      <c r="A690" s="5">
        <v>689</v>
      </c>
      <c r="B690" s="6">
        <v>44586</v>
      </c>
      <c r="C690" s="7">
        <v>20717</v>
      </c>
      <c r="D690" s="7">
        <f t="shared" si="36"/>
        <v>153142</v>
      </c>
      <c r="E690" s="7">
        <f t="shared" si="38"/>
        <v>333235</v>
      </c>
      <c r="F690" s="7">
        <f>$L$2-SUM(D690,E690)</f>
        <v>9517764</v>
      </c>
      <c r="G690" s="7">
        <f t="shared" si="34"/>
        <v>5.8432862923297753E-2</v>
      </c>
      <c r="H690" s="7">
        <f t="shared" si="37"/>
        <v>1.4674328927033475E-3</v>
      </c>
      <c r="I690" s="7">
        <f t="shared" si="35"/>
        <v>8.814315551970923E-4</v>
      </c>
    </row>
    <row r="691" spans="1:9" x14ac:dyDescent="0.25">
      <c r="A691" s="5">
        <v>690</v>
      </c>
      <c r="B691" s="6">
        <v>44587</v>
      </c>
      <c r="C691" s="7">
        <v>19079</v>
      </c>
      <c r="D691" s="7">
        <f t="shared" si="36"/>
        <v>144935</v>
      </c>
      <c r="E691" s="7">
        <f t="shared" si="38"/>
        <v>360008</v>
      </c>
      <c r="F691" s="7">
        <f>$L$2-SUM(D691,E691)</f>
        <v>9499198</v>
      </c>
      <c r="G691" s="7" t="str">
        <f t="shared" si="34"/>
        <v/>
      </c>
      <c r="H691" s="7">
        <f t="shared" si="37"/>
        <v>1.4249683340370213E-3</v>
      </c>
      <c r="I691" s="7" t="str">
        <f t="shared" si="35"/>
        <v/>
      </c>
    </row>
    <row r="692" spans="1:9" x14ac:dyDescent="0.25">
      <c r="A692" s="5">
        <v>691</v>
      </c>
      <c r="B692" s="6">
        <v>44588</v>
      </c>
      <c r="C692" s="7">
        <v>14515</v>
      </c>
      <c r="D692" s="7">
        <f t="shared" si="36"/>
        <v>134158</v>
      </c>
      <c r="E692" s="7">
        <f t="shared" si="38"/>
        <v>384851</v>
      </c>
      <c r="F692" s="7">
        <f>$L$2-SUM(D692,E692)</f>
        <v>9485132</v>
      </c>
      <c r="G692" s="7" t="str">
        <f t="shared" si="34"/>
        <v/>
      </c>
      <c r="H692" s="7">
        <f t="shared" si="37"/>
        <v>1.1666852885922085E-3</v>
      </c>
      <c r="I692" s="7" t="str">
        <f t="shared" si="35"/>
        <v/>
      </c>
    </row>
    <row r="693" spans="1:9" x14ac:dyDescent="0.25">
      <c r="A693" s="5">
        <v>692</v>
      </c>
      <c r="B693" s="6">
        <v>44589</v>
      </c>
      <c r="C693" s="7">
        <v>9991</v>
      </c>
      <c r="D693" s="7">
        <f t="shared" si="36"/>
        <v>118595</v>
      </c>
      <c r="E693" s="7">
        <f t="shared" si="38"/>
        <v>410080</v>
      </c>
      <c r="F693" s="7">
        <f>$L$2-SUM(D693,E693)</f>
        <v>9475466</v>
      </c>
      <c r="G693" s="7" t="str">
        <f t="shared" si="34"/>
        <v/>
      </c>
      <c r="H693" s="7">
        <f t="shared" si="37"/>
        <v>7.925282871634803E-4</v>
      </c>
      <c r="I693" s="7" t="str">
        <f t="shared" si="35"/>
        <v/>
      </c>
    </row>
    <row r="694" spans="1:9" x14ac:dyDescent="0.25">
      <c r="A694" s="5">
        <v>693</v>
      </c>
      <c r="B694" s="6">
        <v>44590</v>
      </c>
      <c r="C694" s="7">
        <v>8185</v>
      </c>
      <c r="D694" s="7">
        <f t="shared" si="36"/>
        <v>104293</v>
      </c>
      <c r="E694" s="7">
        <f t="shared" si="38"/>
        <v>432362</v>
      </c>
      <c r="F694" s="7">
        <f>$L$2-SUM(D694,E694)</f>
        <v>9467486</v>
      </c>
      <c r="G694" s="7" t="str">
        <f t="shared" si="34"/>
        <v/>
      </c>
      <c r="H694" s="7">
        <f t="shared" si="37"/>
        <v>4.7413972550779208E-4</v>
      </c>
      <c r="I694" s="7" t="str">
        <f t="shared" si="35"/>
        <v/>
      </c>
    </row>
    <row r="695" spans="1:9" x14ac:dyDescent="0.25">
      <c r="A695" s="5">
        <v>694</v>
      </c>
      <c r="B695" s="6">
        <v>44591</v>
      </c>
      <c r="C695" s="7">
        <v>3252</v>
      </c>
      <c r="D695" s="7">
        <f t="shared" si="36"/>
        <v>97390</v>
      </c>
      <c r="E695" s="7">
        <f t="shared" si="38"/>
        <v>442039</v>
      </c>
      <c r="F695" s="7">
        <f>$L$2-SUM(D695,E695)</f>
        <v>9464712</v>
      </c>
      <c r="G695" s="7" t="str">
        <f t="shared" si="34"/>
        <v/>
      </c>
      <c r="H695" s="7">
        <f t="shared" si="37"/>
        <v>1.0813525503405809E-3</v>
      </c>
      <c r="I695" s="7" t="str">
        <f t="shared" si="35"/>
        <v/>
      </c>
    </row>
    <row r="696" spans="1:9" x14ac:dyDescent="0.25">
      <c r="A696" s="5">
        <v>695</v>
      </c>
      <c r="B696" s="6">
        <v>44592</v>
      </c>
      <c r="C696" s="7">
        <v>9719</v>
      </c>
      <c r="D696" s="7">
        <f t="shared" si="36"/>
        <v>85458</v>
      </c>
      <c r="E696" s="7">
        <f t="shared" si="38"/>
        <v>463212</v>
      </c>
      <c r="F696" s="7">
        <f>$L$2-SUM(D696,E696)</f>
        <v>9455471</v>
      </c>
      <c r="G696" s="7" t="str">
        <f t="shared" si="34"/>
        <v/>
      </c>
      <c r="H696" s="7">
        <f t="shared" si="37"/>
        <v>1.0319249069540512E-3</v>
      </c>
      <c r="I696" s="7" t="str">
        <f t="shared" si="35"/>
        <v/>
      </c>
    </row>
    <row r="697" spans="1:9" x14ac:dyDescent="0.25">
      <c r="A697" s="5">
        <v>696</v>
      </c>
      <c r="B697" s="6">
        <v>44593</v>
      </c>
      <c r="C697" s="7">
        <v>7152</v>
      </c>
      <c r="D697" s="7">
        <f t="shared" si="36"/>
        <v>71893</v>
      </c>
      <c r="E697" s="7">
        <f t="shared" si="38"/>
        <v>483561</v>
      </c>
      <c r="F697" s="7">
        <f>$L$2-SUM(D697,E697)</f>
        <v>9448687</v>
      </c>
      <c r="G697" s="7" t="str">
        <f t="shared" si="34"/>
        <v/>
      </c>
      <c r="H697" s="7">
        <f t="shared" si="37"/>
        <v>7.6102084328554204E-4</v>
      </c>
      <c r="I697" s="7" t="str">
        <f t="shared" si="35"/>
        <v/>
      </c>
    </row>
    <row r="698" spans="1:9" x14ac:dyDescent="0.25">
      <c r="A698" s="5">
        <v>697</v>
      </c>
      <c r="B698" s="6">
        <v>44594</v>
      </c>
      <c r="C698" s="7">
        <v>6688</v>
      </c>
      <c r="D698" s="7">
        <f t="shared" si="36"/>
        <v>59502</v>
      </c>
      <c r="E698" s="7">
        <f t="shared" si="38"/>
        <v>502196</v>
      </c>
      <c r="F698" s="7">
        <f>$L$2-SUM(D698,E698)</f>
        <v>9442443</v>
      </c>
      <c r="G698" s="7" t="str">
        <f t="shared" si="34"/>
        <v/>
      </c>
      <c r="H698" s="7">
        <f t="shared" si="37"/>
        <v>8.8411695831906267E-4</v>
      </c>
      <c r="I698" s="7" t="str">
        <f t="shared" si="35"/>
        <v/>
      </c>
    </row>
    <row r="699" spans="1:9" x14ac:dyDescent="0.25">
      <c r="A699" s="5">
        <v>698</v>
      </c>
      <c r="B699" s="6">
        <v>44595</v>
      </c>
      <c r="C699" s="7">
        <v>6147</v>
      </c>
      <c r="D699" s="7">
        <f t="shared" si="36"/>
        <v>51134</v>
      </c>
      <c r="E699" s="7">
        <f t="shared" si="38"/>
        <v>516261</v>
      </c>
      <c r="F699" s="7">
        <f>$L$2-SUM(D699,E699)</f>
        <v>9436746</v>
      </c>
      <c r="G699" s="7" t="str">
        <f t="shared" si="34"/>
        <v/>
      </c>
      <c r="H699" s="7">
        <f t="shared" si="37"/>
        <v>8.7165212944615225E-4</v>
      </c>
      <c r="I699" s="7" t="str">
        <f t="shared" si="35"/>
        <v/>
      </c>
    </row>
    <row r="700" spans="1:9" x14ac:dyDescent="0.25">
      <c r="A700" s="5">
        <v>699</v>
      </c>
      <c r="B700" s="6">
        <v>44596</v>
      </c>
      <c r="C700" s="7">
        <v>5363</v>
      </c>
      <c r="D700" s="7">
        <f t="shared" si="36"/>
        <v>46506</v>
      </c>
      <c r="E700" s="7">
        <f t="shared" si="38"/>
        <v>525856</v>
      </c>
      <c r="F700" s="7">
        <f>$L$2-SUM(D700,E700)</f>
        <v>9431779</v>
      </c>
      <c r="G700" s="7" t="str">
        <f t="shared" si="34"/>
        <v/>
      </c>
      <c r="H700" s="7">
        <f t="shared" si="37"/>
        <v>7.5305787135641694E-4</v>
      </c>
      <c r="I700" s="7" t="str">
        <f t="shared" si="35"/>
        <v/>
      </c>
    </row>
    <row r="701" spans="1:9" x14ac:dyDescent="0.25">
      <c r="A701" s="5">
        <v>700</v>
      </c>
      <c r="B701" s="6">
        <v>44597</v>
      </c>
      <c r="C701" s="7">
        <v>4705</v>
      </c>
      <c r="D701" s="7">
        <f t="shared" si="36"/>
        <v>43026</v>
      </c>
      <c r="E701" s="7">
        <f t="shared" si="38"/>
        <v>533866</v>
      </c>
      <c r="F701" s="7">
        <f>$L$2-SUM(D701,E701)</f>
        <v>9427249</v>
      </c>
      <c r="G701" s="7" t="str">
        <f t="shared" si="34"/>
        <v/>
      </c>
      <c r="H701" s="7">
        <f t="shared" si="37"/>
        <v>3.2779761213488028E-4</v>
      </c>
      <c r="I701" s="7" t="str">
        <f t="shared" si="35"/>
        <v/>
      </c>
    </row>
    <row r="702" spans="1:9" x14ac:dyDescent="0.25">
      <c r="A702" s="5">
        <v>701</v>
      </c>
      <c r="B702" s="6">
        <v>44598</v>
      </c>
      <c r="C702" s="7">
        <v>1666</v>
      </c>
      <c r="D702" s="7">
        <f t="shared" si="36"/>
        <v>41440</v>
      </c>
      <c r="E702" s="7">
        <f t="shared" si="38"/>
        <v>536893</v>
      </c>
      <c r="F702" s="7">
        <f>$L$2-SUM(D702,E702)</f>
        <v>9425808</v>
      </c>
      <c r="G702" s="7" t="str">
        <f t="shared" si="34"/>
        <v/>
      </c>
      <c r="H702" s="7">
        <f t="shared" si="37"/>
        <v>4.1907791682886534E-4</v>
      </c>
      <c r="I702" s="7" t="str">
        <f t="shared" si="35"/>
        <v/>
      </c>
    </row>
    <row r="703" spans="1:9" x14ac:dyDescent="0.25">
      <c r="A703" s="5">
        <v>702</v>
      </c>
      <c r="B703" s="6">
        <v>44599</v>
      </c>
      <c r="C703" s="7">
        <v>3894</v>
      </c>
      <c r="D703" s="7">
        <f t="shared" si="36"/>
        <v>35615</v>
      </c>
      <c r="E703" s="7">
        <f t="shared" si="38"/>
        <v>546115</v>
      </c>
      <c r="F703" s="7">
        <f>$L$2-SUM(D703,E703)</f>
        <v>9422411</v>
      </c>
      <c r="G703" s="7" t="str">
        <f t="shared" si="34"/>
        <v/>
      </c>
      <c r="H703" s="7">
        <f t="shared" si="37"/>
        <v>9.1006472995614472E-4</v>
      </c>
      <c r="I703" s="7" t="str">
        <f t="shared" si="35"/>
        <v/>
      </c>
    </row>
    <row r="704" spans="1:9" x14ac:dyDescent="0.25">
      <c r="A704" s="5">
        <v>703</v>
      </c>
      <c r="B704" s="6">
        <v>44600</v>
      </c>
      <c r="C704" s="7">
        <v>3943</v>
      </c>
      <c r="D704" s="7">
        <f t="shared" si="36"/>
        <v>32406</v>
      </c>
      <c r="E704" s="7">
        <f t="shared" si="38"/>
        <v>552794</v>
      </c>
      <c r="F704" s="7">
        <f>$L$2-SUM(D704,E704)</f>
        <v>9418941</v>
      </c>
      <c r="G704" s="7" t="str">
        <f t="shared" si="34"/>
        <v/>
      </c>
      <c r="H704" s="7">
        <f t="shared" si="37"/>
        <v>8.5565328133083932E-4</v>
      </c>
      <c r="I704" s="7" t="str">
        <f t="shared" si="35"/>
        <v/>
      </c>
    </row>
    <row r="705" spans="1:9" x14ac:dyDescent="0.25">
      <c r="A705" s="5">
        <v>704</v>
      </c>
      <c r="B705" s="6">
        <v>44601</v>
      </c>
      <c r="C705" s="7">
        <v>5663</v>
      </c>
      <c r="D705" s="7">
        <f t="shared" si="36"/>
        <v>31381</v>
      </c>
      <c r="E705" s="7">
        <f t="shared" si="38"/>
        <v>558940</v>
      </c>
      <c r="F705" s="7">
        <f>$L$2-SUM(D705,E705)</f>
        <v>9413820</v>
      </c>
      <c r="G705" s="7">
        <f t="shared" si="34"/>
        <v>3.4626685024022281E-2</v>
      </c>
      <c r="H705" s="7">
        <f t="shared" si="37"/>
        <v>9.696926324829141E-4</v>
      </c>
      <c r="I705" s="7">
        <f t="shared" si="35"/>
        <v>9.9799698030263325E-4</v>
      </c>
    </row>
    <row r="706" spans="1:9" x14ac:dyDescent="0.25">
      <c r="A706" s="5">
        <v>705</v>
      </c>
      <c r="B706" s="6">
        <v>44602</v>
      </c>
      <c r="C706" s="7">
        <v>5282</v>
      </c>
      <c r="D706" s="7">
        <f t="shared" si="36"/>
        <v>30516</v>
      </c>
      <c r="E706" s="7">
        <f t="shared" si="38"/>
        <v>564577</v>
      </c>
      <c r="F706" s="7">
        <f>$L$2-SUM(D706,E706)</f>
        <v>9409048</v>
      </c>
      <c r="G706" s="7" t="str">
        <f t="shared" si="34"/>
        <v/>
      </c>
      <c r="H706" s="7">
        <f t="shared" si="37"/>
        <v>9.0333116651935869E-4</v>
      </c>
      <c r="I706" s="7" t="str">
        <f t="shared" si="35"/>
        <v/>
      </c>
    </row>
    <row r="707" spans="1:9" x14ac:dyDescent="0.25">
      <c r="A707" s="5">
        <v>706</v>
      </c>
      <c r="B707" s="6">
        <v>44603</v>
      </c>
      <c r="C707" s="7">
        <v>4154</v>
      </c>
      <c r="D707" s="7">
        <f t="shared" si="36"/>
        <v>29307</v>
      </c>
      <c r="E707" s="7">
        <f t="shared" si="38"/>
        <v>569528</v>
      </c>
      <c r="F707" s="7">
        <f>$L$2-SUM(D707,E707)</f>
        <v>9405306</v>
      </c>
      <c r="G707" s="7" t="str">
        <f t="shared" si="34"/>
        <v/>
      </c>
      <c r="H707" s="7">
        <f t="shared" si="37"/>
        <v>7.2340604851736873E-4</v>
      </c>
      <c r="I707" s="7" t="str">
        <f t="shared" si="35"/>
        <v/>
      </c>
    </row>
    <row r="708" spans="1:9" x14ac:dyDescent="0.25">
      <c r="A708" s="5">
        <v>707</v>
      </c>
      <c r="B708" s="6">
        <v>44604</v>
      </c>
      <c r="C708" s="7">
        <v>4481</v>
      </c>
      <c r="D708" s="7">
        <f t="shared" si="36"/>
        <v>29083</v>
      </c>
      <c r="E708" s="7">
        <f t="shared" si="38"/>
        <v>574050</v>
      </c>
      <c r="F708" s="7">
        <f>$L$2-SUM(D708,E708)</f>
        <v>9401008</v>
      </c>
      <c r="G708" s="7" t="str">
        <f t="shared" si="34"/>
        <v/>
      </c>
      <c r="H708" s="7">
        <f t="shared" si="37"/>
        <v>3.1878756205905409E-4</v>
      </c>
      <c r="I708" s="7" t="str">
        <f t="shared" si="35"/>
        <v/>
      </c>
    </row>
    <row r="709" spans="1:9" x14ac:dyDescent="0.25">
      <c r="A709" s="5">
        <v>708</v>
      </c>
      <c r="B709" s="6">
        <v>44605</v>
      </c>
      <c r="C709" s="7">
        <v>798</v>
      </c>
      <c r="D709" s="7">
        <f t="shared" si="36"/>
        <v>28215</v>
      </c>
      <c r="E709" s="7">
        <f t="shared" si="38"/>
        <v>575110</v>
      </c>
      <c r="F709" s="7">
        <f>$L$2-SUM(D709,E709)</f>
        <v>9400816</v>
      </c>
      <c r="G709" s="7" t="str">
        <f t="shared" si="34"/>
        <v/>
      </c>
      <c r="H709" s="7">
        <f t="shared" si="37"/>
        <v>1.0537114638938638E-3</v>
      </c>
      <c r="I709" s="7" t="str">
        <f t="shared" si="35"/>
        <v/>
      </c>
    </row>
    <row r="710" spans="1:9" x14ac:dyDescent="0.25">
      <c r="A710" s="5">
        <v>709</v>
      </c>
      <c r="B710" s="6">
        <v>44606</v>
      </c>
      <c r="C710" s="7">
        <v>3695</v>
      </c>
      <c r="D710" s="7">
        <f t="shared" si="36"/>
        <v>28016</v>
      </c>
      <c r="E710" s="7">
        <f t="shared" si="38"/>
        <v>578379</v>
      </c>
      <c r="F710" s="7">
        <f>$L$2-SUM(D710,E710)</f>
        <v>9397746</v>
      </c>
      <c r="G710" s="7" t="str">
        <f t="shared" ref="G710:G750" si="39">IF(MOD(A710,15)=14,SUM(C710:C724)/SUM(D695:D709),"")</f>
        <v/>
      </c>
      <c r="H710" s="7">
        <f t="shared" si="37"/>
        <v>1.0806063152362033E-3</v>
      </c>
      <c r="I710" s="7" t="str">
        <f t="shared" ref="I710:I750" si="40">IF(MOD(A710,15)=14,AVERAGE(H710:H724),"")</f>
        <v/>
      </c>
    </row>
    <row r="711" spans="1:9" x14ac:dyDescent="0.25">
      <c r="A711" s="5">
        <v>710</v>
      </c>
      <c r="B711" s="6">
        <v>44607</v>
      </c>
      <c r="C711" s="7">
        <v>4504</v>
      </c>
      <c r="D711" s="7">
        <f t="shared" si="36"/>
        <v>28577</v>
      </c>
      <c r="E711" s="7">
        <f t="shared" si="38"/>
        <v>581778</v>
      </c>
      <c r="F711" s="7">
        <f>$L$2-SUM(D711,E711)</f>
        <v>9393786</v>
      </c>
      <c r="G711" s="7" t="str">
        <f t="shared" si="39"/>
        <v/>
      </c>
      <c r="H711" s="7">
        <f t="shared" si="37"/>
        <v>9.3506457789741101E-4</v>
      </c>
      <c r="I711" s="7" t="str">
        <f t="shared" si="40"/>
        <v/>
      </c>
    </row>
    <row r="712" spans="1:9" x14ac:dyDescent="0.25">
      <c r="A712" s="5">
        <v>711</v>
      </c>
      <c r="B712" s="6">
        <v>44608</v>
      </c>
      <c r="C712" s="7">
        <v>4057</v>
      </c>
      <c r="D712" s="7">
        <f t="shared" si="36"/>
        <v>26971</v>
      </c>
      <c r="E712" s="7">
        <f t="shared" si="38"/>
        <v>586902</v>
      </c>
      <c r="F712" s="7">
        <f>$L$2-SUM(D712,E712)</f>
        <v>9390268</v>
      </c>
      <c r="G712" s="7" t="str">
        <f t="shared" si="39"/>
        <v/>
      </c>
      <c r="H712" s="7">
        <f t="shared" si="37"/>
        <v>9.1838160374304396E-4</v>
      </c>
      <c r="I712" s="7" t="str">
        <f t="shared" si="40"/>
        <v/>
      </c>
    </row>
    <row r="713" spans="1:9" x14ac:dyDescent="0.25">
      <c r="A713" s="5">
        <v>712</v>
      </c>
      <c r="B713" s="6">
        <v>44609</v>
      </c>
      <c r="C713" s="7">
        <v>3783</v>
      </c>
      <c r="D713" s="7">
        <f t="shared" ref="D713:D750" si="41">SUM(C707:C713)</f>
        <v>25472</v>
      </c>
      <c r="E713" s="7">
        <f t="shared" si="38"/>
        <v>591659</v>
      </c>
      <c r="F713" s="7">
        <f>$L$2-SUM(D713,E713)</f>
        <v>9387010</v>
      </c>
      <c r="G713" s="7" t="str">
        <f t="shared" si="39"/>
        <v/>
      </c>
      <c r="H713" s="7">
        <f t="shared" si="37"/>
        <v>8.8733544152966488E-4</v>
      </c>
      <c r="I713" s="7" t="str">
        <f t="shared" si="40"/>
        <v/>
      </c>
    </row>
    <row r="714" spans="1:9" x14ac:dyDescent="0.25">
      <c r="A714" s="5">
        <v>713</v>
      </c>
      <c r="B714" s="6">
        <v>44610</v>
      </c>
      <c r="C714" s="7">
        <v>1958</v>
      </c>
      <c r="D714" s="7">
        <f t="shared" si="41"/>
        <v>23276</v>
      </c>
      <c r="E714" s="7">
        <f t="shared" si="38"/>
        <v>595353</v>
      </c>
      <c r="F714" s="7">
        <f>$L$2-SUM(D714,E714)</f>
        <v>9385512</v>
      </c>
      <c r="G714" s="7" t="str">
        <f t="shared" si="39"/>
        <v/>
      </c>
      <c r="H714" s="7">
        <f t="shared" si="37"/>
        <v>7.7265084748040242E-4</v>
      </c>
      <c r="I714" s="7" t="str">
        <f t="shared" si="40"/>
        <v/>
      </c>
    </row>
    <row r="715" spans="1:9" x14ac:dyDescent="0.25">
      <c r="A715" s="5">
        <v>714</v>
      </c>
      <c r="B715" s="6">
        <v>44611</v>
      </c>
      <c r="C715" s="7">
        <v>1292</v>
      </c>
      <c r="D715" s="7">
        <f t="shared" si="41"/>
        <v>20087</v>
      </c>
      <c r="E715" s="7">
        <f t="shared" si="38"/>
        <v>599340</v>
      </c>
      <c r="F715" s="7">
        <f>$L$2-SUM(D715,E715)</f>
        <v>9384714</v>
      </c>
      <c r="G715" s="7" t="str">
        <f t="shared" si="39"/>
        <v/>
      </c>
      <c r="H715" s="7">
        <f t="shared" si="37"/>
        <v>8.2423999733039681E-4</v>
      </c>
      <c r="I715" s="7" t="str">
        <f t="shared" si="40"/>
        <v/>
      </c>
    </row>
    <row r="716" spans="1:9" x14ac:dyDescent="0.25">
      <c r="A716" s="5">
        <v>715</v>
      </c>
      <c r="B716" s="6">
        <v>44612</v>
      </c>
      <c r="C716" s="7">
        <v>592</v>
      </c>
      <c r="D716" s="7">
        <f t="shared" si="41"/>
        <v>19881</v>
      </c>
      <c r="E716" s="7">
        <f t="shared" si="38"/>
        <v>599254</v>
      </c>
      <c r="F716" s="7">
        <f>$L$2-SUM(D716,E716)</f>
        <v>9385006</v>
      </c>
      <c r="G716" s="7" t="str">
        <f t="shared" si="39"/>
        <v/>
      </c>
      <c r="H716" s="7">
        <f t="shared" si="37"/>
        <v>1.4751674582063699E-3</v>
      </c>
      <c r="I716" s="7" t="str">
        <f t="shared" si="40"/>
        <v/>
      </c>
    </row>
    <row r="717" spans="1:9" x14ac:dyDescent="0.25">
      <c r="A717" s="5">
        <v>716</v>
      </c>
      <c r="B717" s="6">
        <v>44613</v>
      </c>
      <c r="C717" s="7">
        <v>743</v>
      </c>
      <c r="D717" s="7">
        <f t="shared" si="41"/>
        <v>16929</v>
      </c>
      <c r="E717" s="7">
        <f t="shared" si="38"/>
        <v>602197</v>
      </c>
      <c r="F717" s="7">
        <f>$L$2-SUM(D717,E717)</f>
        <v>9385015</v>
      </c>
      <c r="G717" s="7" t="str">
        <f t="shared" si="39"/>
        <v/>
      </c>
      <c r="H717" s="7">
        <f t="shared" si="37"/>
        <v>1.2487607875828011E-3</v>
      </c>
      <c r="I717" s="7" t="str">
        <f t="shared" si="40"/>
        <v/>
      </c>
    </row>
    <row r="718" spans="1:9" x14ac:dyDescent="0.25">
      <c r="A718" s="5">
        <v>717</v>
      </c>
      <c r="B718" s="6">
        <v>44614</v>
      </c>
      <c r="C718" s="7">
        <v>664</v>
      </c>
      <c r="D718" s="7">
        <f t="shared" si="41"/>
        <v>13089</v>
      </c>
      <c r="E718" s="7">
        <f t="shared" si="38"/>
        <v>605907</v>
      </c>
      <c r="F718" s="7">
        <f>$L$2-SUM(D718,E718)</f>
        <v>9385145</v>
      </c>
      <c r="G718" s="7" t="str">
        <f t="shared" si="39"/>
        <v/>
      </c>
      <c r="H718" s="7">
        <f t="shared" si="37"/>
        <v>1.3104321290231008E-3</v>
      </c>
      <c r="I718" s="7" t="str">
        <f t="shared" si="40"/>
        <v/>
      </c>
    </row>
    <row r="719" spans="1:9" x14ac:dyDescent="0.25">
      <c r="A719" s="5">
        <v>718</v>
      </c>
      <c r="B719" s="6">
        <v>44615</v>
      </c>
      <c r="C719" s="7">
        <v>561</v>
      </c>
      <c r="D719" s="7">
        <f t="shared" si="41"/>
        <v>9593</v>
      </c>
      <c r="E719" s="7">
        <f t="shared" si="38"/>
        <v>609021</v>
      </c>
      <c r="F719" s="7">
        <f>$L$2-SUM(D719,E719)</f>
        <v>9385527</v>
      </c>
      <c r="G719" s="7" t="str">
        <f t="shared" si="39"/>
        <v/>
      </c>
      <c r="H719" s="7">
        <f t="shared" si="37"/>
        <v>1.548386673037547E-3</v>
      </c>
      <c r="I719" s="7" t="str">
        <f t="shared" si="40"/>
        <v/>
      </c>
    </row>
    <row r="720" spans="1:9" x14ac:dyDescent="0.25">
      <c r="A720" s="5">
        <v>719</v>
      </c>
      <c r="B720" s="6">
        <v>44616</v>
      </c>
      <c r="C720" s="7">
        <v>919</v>
      </c>
      <c r="D720" s="7">
        <f t="shared" si="41"/>
        <v>6729</v>
      </c>
      <c r="E720" s="7">
        <f t="shared" si="38"/>
        <v>611899</v>
      </c>
      <c r="F720" s="7">
        <f>$L$2-SUM(D720,E720)</f>
        <v>9385513</v>
      </c>
      <c r="G720" s="7">
        <f t="shared" si="39"/>
        <v>2.5647002022791784E-2</v>
      </c>
      <c r="H720" s="7">
        <f t="shared" si="37"/>
        <v>1.479002253639898E-3</v>
      </c>
      <c r="I720" s="7">
        <f t="shared" si="40"/>
        <v>1.2592528930094578E-3</v>
      </c>
    </row>
    <row r="721" spans="1:9" x14ac:dyDescent="0.25">
      <c r="A721" s="5">
        <v>720</v>
      </c>
      <c r="B721" s="6">
        <v>44617</v>
      </c>
      <c r="C721" s="7">
        <v>1278</v>
      </c>
      <c r="D721" s="7">
        <f t="shared" si="41"/>
        <v>6049</v>
      </c>
      <c r="E721" s="7">
        <f t="shared" si="38"/>
        <v>613076</v>
      </c>
      <c r="F721" s="7">
        <f>$L$2-SUM(D721,E721)</f>
        <v>9385016</v>
      </c>
      <c r="G721" s="7" t="str">
        <f t="shared" si="39"/>
        <v/>
      </c>
      <c r="H721" s="7">
        <f t="shared" si="37"/>
        <v>1.2739040510475047E-3</v>
      </c>
      <c r="I721" s="7" t="str">
        <f t="shared" si="40"/>
        <v/>
      </c>
    </row>
    <row r="722" spans="1:9" x14ac:dyDescent="0.25">
      <c r="A722" s="5">
        <v>721</v>
      </c>
      <c r="B722" s="6">
        <v>44618</v>
      </c>
      <c r="C722" s="7">
        <v>1310</v>
      </c>
      <c r="D722" s="7">
        <f t="shared" si="41"/>
        <v>6067</v>
      </c>
      <c r="E722" s="7">
        <f t="shared" si="38"/>
        <v>613841</v>
      </c>
      <c r="F722" s="7">
        <f>$L$2-SUM(D722,E722)</f>
        <v>9384233</v>
      </c>
      <c r="G722" s="7" t="str">
        <f t="shared" si="39"/>
        <v/>
      </c>
      <c r="H722" s="7">
        <f t="shared" si="37"/>
        <v>8.5852851145492074E-4</v>
      </c>
      <c r="I722" s="7" t="str">
        <f t="shared" si="40"/>
        <v/>
      </c>
    </row>
    <row r="723" spans="1:9" x14ac:dyDescent="0.25">
      <c r="A723" s="5">
        <v>722</v>
      </c>
      <c r="B723" s="6">
        <v>44619</v>
      </c>
      <c r="C723" s="7">
        <v>389</v>
      </c>
      <c r="D723" s="7">
        <f t="shared" si="41"/>
        <v>5864</v>
      </c>
      <c r="E723" s="7">
        <f t="shared" si="38"/>
        <v>613550</v>
      </c>
      <c r="F723" s="7">
        <f>$L$2-SUM(D723,E723)</f>
        <v>9384727</v>
      </c>
      <c r="G723" s="7" t="str">
        <f t="shared" si="39"/>
        <v/>
      </c>
      <c r="H723" s="7">
        <f t="shared" si="37"/>
        <v>1.4391655121831961E-3</v>
      </c>
      <c r="I723" s="7" t="str">
        <f t="shared" si="40"/>
        <v/>
      </c>
    </row>
    <row r="724" spans="1:9" x14ac:dyDescent="0.25">
      <c r="A724" s="5">
        <v>723</v>
      </c>
      <c r="B724" s="6">
        <v>44620</v>
      </c>
      <c r="C724" s="7">
        <v>438</v>
      </c>
      <c r="D724" s="7">
        <f t="shared" si="41"/>
        <v>5559</v>
      </c>
      <c r="E724" s="7">
        <f t="shared" si="38"/>
        <v>613538</v>
      </c>
      <c r="F724" s="7">
        <f>$L$2-SUM(D724,E724)</f>
        <v>9385044</v>
      </c>
      <c r="G724" s="7" t="str">
        <f t="shared" si="39"/>
        <v/>
      </c>
      <c r="H724" s="7">
        <f t="shared" si="37"/>
        <v>1.2305676258031288E-3</v>
      </c>
      <c r="I724" s="7" t="str">
        <f t="shared" si="40"/>
        <v/>
      </c>
    </row>
    <row r="725" spans="1:9" x14ac:dyDescent="0.25">
      <c r="A725" s="5">
        <v>724</v>
      </c>
      <c r="B725" s="6">
        <v>44621</v>
      </c>
      <c r="C725" s="7">
        <v>623</v>
      </c>
      <c r="D725" s="7">
        <f t="shared" si="41"/>
        <v>5518</v>
      </c>
      <c r="E725" s="7">
        <f t="shared" si="38"/>
        <v>613339</v>
      </c>
      <c r="F725" s="7">
        <f>$L$2-SUM(D725,E725)</f>
        <v>9385284</v>
      </c>
      <c r="G725" s="7" t="str">
        <f t="shared" si="39"/>
        <v/>
      </c>
      <c r="H725" s="7">
        <f t="shared" si="37"/>
        <v>1.4070522174523387E-3</v>
      </c>
      <c r="I725" s="7" t="str">
        <f t="shared" si="40"/>
        <v/>
      </c>
    </row>
    <row r="726" spans="1:9" x14ac:dyDescent="0.25">
      <c r="A726" s="5">
        <v>725</v>
      </c>
      <c r="B726" s="6">
        <v>44622</v>
      </c>
      <c r="C726" s="7">
        <v>798</v>
      </c>
      <c r="D726" s="7">
        <f t="shared" si="41"/>
        <v>5755</v>
      </c>
      <c r="E726" s="7">
        <f t="shared" si="38"/>
        <v>613046</v>
      </c>
      <c r="F726" s="7">
        <f>$L$2-SUM(D726,E726)</f>
        <v>9385340</v>
      </c>
      <c r="G726" s="7" t="str">
        <f t="shared" si="39"/>
        <v/>
      </c>
      <c r="H726" s="7">
        <f t="shared" si="37"/>
        <v>1.3930439151385052E-3</v>
      </c>
      <c r="I726" s="7" t="str">
        <f t="shared" si="40"/>
        <v/>
      </c>
    </row>
    <row r="727" spans="1:9" x14ac:dyDescent="0.25">
      <c r="A727" s="5">
        <v>726</v>
      </c>
      <c r="B727" s="6">
        <v>44623</v>
      </c>
      <c r="C727" s="7">
        <v>734</v>
      </c>
      <c r="D727" s="7">
        <f t="shared" si="41"/>
        <v>5570</v>
      </c>
      <c r="E727" s="7">
        <f t="shared" si="38"/>
        <v>613102</v>
      </c>
      <c r="F727" s="7">
        <f>$L$2-SUM(D727,E727)</f>
        <v>9385469</v>
      </c>
      <c r="G727" s="7" t="str">
        <f t="shared" si="39"/>
        <v/>
      </c>
      <c r="H727" s="7">
        <f t="shared" si="37"/>
        <v>1.4075961259301063E-3</v>
      </c>
      <c r="I727" s="7" t="str">
        <f t="shared" si="40"/>
        <v/>
      </c>
    </row>
    <row r="728" spans="1:9" x14ac:dyDescent="0.25">
      <c r="A728" s="5">
        <v>727</v>
      </c>
      <c r="B728" s="6">
        <v>44624</v>
      </c>
      <c r="C728" s="7">
        <v>436</v>
      </c>
      <c r="D728" s="7">
        <f t="shared" si="41"/>
        <v>4728</v>
      </c>
      <c r="E728" s="7">
        <f t="shared" si="38"/>
        <v>613704</v>
      </c>
      <c r="F728" s="7">
        <f>$L$2-SUM(D728,E728)</f>
        <v>9385709</v>
      </c>
      <c r="G728" s="7" t="str">
        <f t="shared" si="39"/>
        <v/>
      </c>
      <c r="H728" s="7">
        <f t="shared" si="37"/>
        <v>1.1015082189459414E-3</v>
      </c>
      <c r="I728" s="7" t="str">
        <f t="shared" si="40"/>
        <v/>
      </c>
    </row>
    <row r="729" spans="1:9" x14ac:dyDescent="0.25">
      <c r="A729" s="5">
        <v>728</v>
      </c>
      <c r="B729" s="6">
        <v>44625</v>
      </c>
      <c r="C729" s="7">
        <v>507</v>
      </c>
      <c r="D729" s="7">
        <f t="shared" si="41"/>
        <v>3925</v>
      </c>
      <c r="E729" s="7">
        <f t="shared" si="38"/>
        <v>614520</v>
      </c>
      <c r="F729" s="7">
        <f>$L$2-SUM(D729,E729)</f>
        <v>9385696</v>
      </c>
      <c r="G729" s="7" t="str">
        <f t="shared" si="39"/>
        <v/>
      </c>
      <c r="H729" s="7">
        <f t="shared" si="37"/>
        <v>8.0387945062813254E-4</v>
      </c>
      <c r="I729" s="7" t="str">
        <f t="shared" si="40"/>
        <v/>
      </c>
    </row>
    <row r="730" spans="1:9" x14ac:dyDescent="0.25">
      <c r="A730" s="5">
        <v>729</v>
      </c>
      <c r="B730" s="6">
        <v>44626</v>
      </c>
      <c r="C730" s="7">
        <v>93</v>
      </c>
      <c r="D730" s="7">
        <f t="shared" si="41"/>
        <v>3629</v>
      </c>
      <c r="E730" s="7">
        <f t="shared" si="38"/>
        <v>614135</v>
      </c>
      <c r="F730" s="7">
        <f>$L$2-SUM(D730,E730)</f>
        <v>9386377</v>
      </c>
      <c r="G730" s="7" t="str">
        <f t="shared" si="39"/>
        <v/>
      </c>
      <c r="H730" s="7">
        <f t="shared" si="37"/>
        <v>1.2603092154005228E-3</v>
      </c>
      <c r="I730" s="7" t="str">
        <f t="shared" si="40"/>
        <v/>
      </c>
    </row>
    <row r="731" spans="1:9" x14ac:dyDescent="0.25">
      <c r="A731" s="5">
        <v>730</v>
      </c>
      <c r="B731" s="6">
        <v>44627</v>
      </c>
      <c r="C731" s="7">
        <v>535</v>
      </c>
      <c r="D731" s="7">
        <f t="shared" si="41"/>
        <v>3726</v>
      </c>
      <c r="E731" s="7">
        <f t="shared" si="38"/>
        <v>613825</v>
      </c>
      <c r="F731" s="7">
        <f>$L$2-SUM(D731,E731)</f>
        <v>9386590</v>
      </c>
      <c r="G731" s="7" t="str">
        <f t="shared" si="39"/>
        <v/>
      </c>
      <c r="H731" s="7">
        <f t="shared" si="37"/>
        <v>1.2185883598745571E-3</v>
      </c>
      <c r="I731" s="7" t="str">
        <f t="shared" si="40"/>
        <v/>
      </c>
    </row>
    <row r="732" spans="1:9" x14ac:dyDescent="0.25">
      <c r="A732" s="5">
        <v>731</v>
      </c>
      <c r="B732" s="6">
        <v>44628</v>
      </c>
      <c r="C732" s="7">
        <v>419</v>
      </c>
      <c r="D732" s="7">
        <f t="shared" si="41"/>
        <v>3522</v>
      </c>
      <c r="E732" s="7">
        <f t="shared" si="38"/>
        <v>613698</v>
      </c>
      <c r="F732" s="7">
        <f>$L$2-SUM(D732,E732)</f>
        <v>9386921</v>
      </c>
      <c r="G732" s="7" t="str">
        <f t="shared" si="39"/>
        <v/>
      </c>
      <c r="H732" s="7">
        <f t="shared" si="37"/>
        <v>1.2220994691199906E-3</v>
      </c>
      <c r="I732" s="7" t="str">
        <f t="shared" si="40"/>
        <v/>
      </c>
    </row>
    <row r="733" spans="1:9" x14ac:dyDescent="0.25">
      <c r="A733" s="5">
        <v>732</v>
      </c>
      <c r="B733" s="6">
        <v>44629</v>
      </c>
      <c r="C733" s="7">
        <v>394</v>
      </c>
      <c r="D733" s="7">
        <f t="shared" si="41"/>
        <v>3118</v>
      </c>
      <c r="E733" s="7">
        <f t="shared" si="38"/>
        <v>613593</v>
      </c>
      <c r="F733" s="7">
        <f>$L$2-SUM(D733,E733)</f>
        <v>9387430</v>
      </c>
      <c r="G733" s="7" t="str">
        <f t="shared" si="39"/>
        <v/>
      </c>
      <c r="H733" s="7">
        <f t="shared" si="37"/>
        <v>1.4716595528306222E-3</v>
      </c>
      <c r="I733" s="7" t="str">
        <f t="shared" si="40"/>
        <v/>
      </c>
    </row>
    <row r="734" spans="1:9" x14ac:dyDescent="0.25">
      <c r="A734" s="5">
        <v>733</v>
      </c>
      <c r="B734" s="6">
        <v>44630</v>
      </c>
      <c r="C734" s="7">
        <v>370</v>
      </c>
      <c r="D734" s="7">
        <f t="shared" si="41"/>
        <v>2754</v>
      </c>
      <c r="E734" s="7">
        <f t="shared" si="38"/>
        <v>613516</v>
      </c>
      <c r="F734" s="7">
        <f>$L$2-SUM(D734,E734)</f>
        <v>9387871</v>
      </c>
      <c r="G734" s="7" t="str">
        <f t="shared" si="39"/>
        <v/>
      </c>
      <c r="H734" s="7">
        <f t="shared" si="37"/>
        <v>1.3218889156925004E-3</v>
      </c>
      <c r="I734" s="7" t="str">
        <f t="shared" si="40"/>
        <v/>
      </c>
    </row>
    <row r="735" spans="1:9" x14ac:dyDescent="0.25">
      <c r="A735" s="5">
        <v>734</v>
      </c>
      <c r="B735" s="6">
        <v>44631</v>
      </c>
      <c r="C735" s="7">
        <v>222</v>
      </c>
      <c r="D735" s="7">
        <f t="shared" si="41"/>
        <v>2540</v>
      </c>
      <c r="E735" s="7">
        <f t="shared" si="38"/>
        <v>613125</v>
      </c>
      <c r="F735" s="7">
        <f>$L$2-SUM(D735,E735)</f>
        <v>9388476</v>
      </c>
      <c r="G735" s="7">
        <f t="shared" si="39"/>
        <v>4.3826624191524277E-2</v>
      </c>
      <c r="H735" s="7">
        <f t="shared" si="37"/>
        <v>1.3488277268093782E-3</v>
      </c>
      <c r="I735" s="7">
        <f t="shared" si="40"/>
        <v>1.3245666056468249E-3</v>
      </c>
    </row>
    <row r="736" spans="1:9" x14ac:dyDescent="0.25">
      <c r="A736" s="5">
        <v>735</v>
      </c>
      <c r="B736" s="6">
        <v>44632</v>
      </c>
      <c r="C736" s="7">
        <v>232</v>
      </c>
      <c r="D736" s="7">
        <f t="shared" si="41"/>
        <v>2265</v>
      </c>
      <c r="E736" s="7">
        <f t="shared" si="38"/>
        <v>613089</v>
      </c>
      <c r="F736" s="7">
        <f>$L$2-SUM(D736,E736)</f>
        <v>9388787</v>
      </c>
      <c r="G736" s="7" t="str">
        <f t="shared" si="39"/>
        <v/>
      </c>
      <c r="H736" s="7">
        <f t="shared" si="37"/>
        <v>8.8567891448060559E-4</v>
      </c>
      <c r="I736" s="7" t="str">
        <f t="shared" si="40"/>
        <v/>
      </c>
    </row>
    <row r="737" spans="1:9" x14ac:dyDescent="0.25">
      <c r="A737" s="5">
        <v>736</v>
      </c>
      <c r="B737" s="6">
        <v>44633</v>
      </c>
      <c r="C737" s="7">
        <v>106</v>
      </c>
      <c r="D737" s="7">
        <f t="shared" si="41"/>
        <v>2278</v>
      </c>
      <c r="E737" s="7">
        <f t="shared" si="38"/>
        <v>612210</v>
      </c>
      <c r="F737" s="7">
        <f>$L$2-SUM(D737,E737)</f>
        <v>9389653</v>
      </c>
      <c r="G737" s="7" t="str">
        <f t="shared" si="39"/>
        <v/>
      </c>
      <c r="H737" s="7">
        <f t="shared" si="37"/>
        <v>1.5876904983584065E-3</v>
      </c>
      <c r="I737" s="7" t="str">
        <f t="shared" si="40"/>
        <v/>
      </c>
    </row>
    <row r="738" spans="1:9" x14ac:dyDescent="0.25">
      <c r="A738" s="5">
        <v>737</v>
      </c>
      <c r="B738" s="6">
        <v>44634</v>
      </c>
      <c r="C738" s="7">
        <v>240</v>
      </c>
      <c r="D738" s="7">
        <f t="shared" si="41"/>
        <v>1983</v>
      </c>
      <c r="E738" s="7">
        <f t="shared" si="38"/>
        <v>611894</v>
      </c>
      <c r="F738" s="7">
        <f>$L$2-SUM(D738,E738)</f>
        <v>9390264</v>
      </c>
      <c r="G738" s="7" t="str">
        <f t="shared" si="39"/>
        <v/>
      </c>
      <c r="H738" s="7">
        <f t="shared" si="37"/>
        <v>1.3907637597361635E-3</v>
      </c>
      <c r="I738" s="7" t="str">
        <f t="shared" si="40"/>
        <v/>
      </c>
    </row>
    <row r="739" spans="1:9" x14ac:dyDescent="0.25">
      <c r="A739" s="5">
        <v>738</v>
      </c>
      <c r="B739" s="6">
        <v>44635</v>
      </c>
      <c r="C739" s="7">
        <v>406</v>
      </c>
      <c r="D739" s="7">
        <f t="shared" si="41"/>
        <v>1970</v>
      </c>
      <c r="E739" s="7">
        <f t="shared" si="38"/>
        <v>611793</v>
      </c>
      <c r="F739" s="7">
        <f>$L$2-SUM(D739,E739)</f>
        <v>9390378</v>
      </c>
      <c r="G739" s="7" t="str">
        <f t="shared" si="39"/>
        <v/>
      </c>
      <c r="H739" s="7">
        <f t="shared" ref="H739:H750" si="42">C642/E739</f>
        <v>8.4996068931811905E-4</v>
      </c>
      <c r="I739" s="7" t="str">
        <f t="shared" si="40"/>
        <v/>
      </c>
    </row>
    <row r="740" spans="1:9" x14ac:dyDescent="0.25">
      <c r="A740" s="5">
        <v>739</v>
      </c>
      <c r="B740" s="6">
        <v>44636</v>
      </c>
      <c r="C740" s="7">
        <v>193</v>
      </c>
      <c r="D740" s="7">
        <f t="shared" si="41"/>
        <v>1769</v>
      </c>
      <c r="E740" s="7">
        <f t="shared" ref="E740:E750" si="43">SUM(C644:C733)</f>
        <v>611342</v>
      </c>
      <c r="F740" s="7">
        <f>$L$2-SUM(D740,E740)</f>
        <v>9391030</v>
      </c>
      <c r="G740" s="7" t="str">
        <f t="shared" si="39"/>
        <v/>
      </c>
      <c r="H740" s="7">
        <f t="shared" si="42"/>
        <v>1.3822050505281822E-3</v>
      </c>
      <c r="I740" s="7" t="str">
        <f t="shared" si="40"/>
        <v/>
      </c>
    </row>
    <row r="741" spans="1:9" x14ac:dyDescent="0.25">
      <c r="A741" s="5">
        <v>740</v>
      </c>
      <c r="B741" s="6">
        <v>44637</v>
      </c>
      <c r="C741" s="7">
        <v>230</v>
      </c>
      <c r="D741" s="7">
        <f t="shared" si="41"/>
        <v>1629</v>
      </c>
      <c r="E741" s="7">
        <f t="shared" si="43"/>
        <v>610879</v>
      </c>
      <c r="F741" s="7">
        <f>$L$2-SUM(D741,E741)</f>
        <v>9391633</v>
      </c>
      <c r="G741" s="7" t="str">
        <f t="shared" si="39"/>
        <v/>
      </c>
      <c r="H741" s="7">
        <f t="shared" si="42"/>
        <v>1.3636088325183874E-3</v>
      </c>
      <c r="I741" s="7" t="str">
        <f t="shared" si="40"/>
        <v/>
      </c>
    </row>
    <row r="742" spans="1:9" x14ac:dyDescent="0.25">
      <c r="A742" s="5">
        <v>741</v>
      </c>
      <c r="B742" s="6">
        <v>44638</v>
      </c>
      <c r="C742" s="7">
        <v>185</v>
      </c>
      <c r="D742" s="7">
        <f t="shared" si="41"/>
        <v>1592</v>
      </c>
      <c r="E742" s="7">
        <f t="shared" si="43"/>
        <v>610311</v>
      </c>
      <c r="F742" s="7">
        <f>$L$2-SUM(D742,E742)</f>
        <v>9392238</v>
      </c>
      <c r="G742" s="7" t="str">
        <f t="shared" si="39"/>
        <v/>
      </c>
      <c r="H742" s="7">
        <f t="shared" si="42"/>
        <v>1.2944220241811143E-3</v>
      </c>
      <c r="I742" s="7" t="str">
        <f t="shared" si="40"/>
        <v/>
      </c>
    </row>
    <row r="743" spans="1:9" x14ac:dyDescent="0.25">
      <c r="A743" s="5">
        <v>742</v>
      </c>
      <c r="B743" s="6">
        <v>44639</v>
      </c>
      <c r="C743" s="7">
        <v>258</v>
      </c>
      <c r="D743" s="7">
        <f t="shared" si="41"/>
        <v>1618</v>
      </c>
      <c r="E743" s="7">
        <f t="shared" si="43"/>
        <v>609924</v>
      </c>
      <c r="F743" s="7">
        <f>$L$2-SUM(D743,E743)</f>
        <v>9392599</v>
      </c>
      <c r="G743" s="7" t="str">
        <f t="shared" si="39"/>
        <v/>
      </c>
      <c r="H743" s="7">
        <f t="shared" si="42"/>
        <v>1.0148805424938189E-3</v>
      </c>
      <c r="I743" s="7" t="str">
        <f t="shared" si="40"/>
        <v/>
      </c>
    </row>
    <row r="744" spans="1:9" x14ac:dyDescent="0.25">
      <c r="A744" s="5">
        <v>743</v>
      </c>
      <c r="B744" s="6">
        <v>44640</v>
      </c>
      <c r="C744" s="7">
        <v>154</v>
      </c>
      <c r="D744" s="7">
        <f t="shared" si="41"/>
        <v>1666</v>
      </c>
      <c r="E744" s="7">
        <f t="shared" si="43"/>
        <v>609242</v>
      </c>
      <c r="F744" s="7">
        <f>$L$2-SUM(D744,E744)</f>
        <v>9393233</v>
      </c>
      <c r="G744" s="7" t="str">
        <f t="shared" si="39"/>
        <v/>
      </c>
      <c r="H744" s="7">
        <f t="shared" si="42"/>
        <v>1.29341050026098E-3</v>
      </c>
      <c r="I744" s="7" t="str">
        <f t="shared" si="40"/>
        <v/>
      </c>
    </row>
    <row r="745" spans="1:9" x14ac:dyDescent="0.25">
      <c r="A745" s="5">
        <v>744</v>
      </c>
      <c r="B745" s="6">
        <v>44641</v>
      </c>
      <c r="C745" s="7">
        <v>187</v>
      </c>
      <c r="D745" s="7">
        <f t="shared" si="41"/>
        <v>1613</v>
      </c>
      <c r="E745" s="7">
        <f t="shared" si="43"/>
        <v>608718</v>
      </c>
      <c r="F745" s="7">
        <f>$L$2-SUM(D745,E745)</f>
        <v>9393810</v>
      </c>
      <c r="G745" s="7" t="str">
        <f t="shared" si="39"/>
        <v/>
      </c>
      <c r="H745" s="7">
        <f t="shared" si="42"/>
        <v>1.2550967771611814E-3</v>
      </c>
      <c r="I745" s="7" t="str">
        <f t="shared" si="40"/>
        <v/>
      </c>
    </row>
    <row r="746" spans="1:9" x14ac:dyDescent="0.25">
      <c r="A746" s="5">
        <v>745</v>
      </c>
      <c r="B746" s="6">
        <v>44642</v>
      </c>
      <c r="C746" s="7">
        <v>163</v>
      </c>
      <c r="D746" s="7">
        <f t="shared" si="41"/>
        <v>1370</v>
      </c>
      <c r="E746" s="7">
        <f t="shared" si="43"/>
        <v>608259</v>
      </c>
      <c r="F746" s="7">
        <f>$L$2-SUM(D746,E746)</f>
        <v>9394512</v>
      </c>
      <c r="G746" s="7" t="str">
        <f t="shared" si="39"/>
        <v/>
      </c>
      <c r="H746" s="7">
        <f t="shared" si="42"/>
        <v>1.4220915761213562E-3</v>
      </c>
      <c r="I746" s="7" t="str">
        <f t="shared" si="40"/>
        <v/>
      </c>
    </row>
    <row r="747" spans="1:9" x14ac:dyDescent="0.25">
      <c r="A747" s="5">
        <v>746</v>
      </c>
      <c r="B747" s="6">
        <v>44643</v>
      </c>
      <c r="C747" s="7">
        <v>241</v>
      </c>
      <c r="D747" s="7">
        <f t="shared" si="41"/>
        <v>1418</v>
      </c>
      <c r="E747" s="7">
        <f t="shared" si="43"/>
        <v>607379</v>
      </c>
      <c r="F747" s="7">
        <f>$L$2-SUM(D747,E747)</f>
        <v>9395344</v>
      </c>
      <c r="G747" s="7" t="str">
        <f t="shared" si="39"/>
        <v/>
      </c>
      <c r="H747" s="7">
        <f t="shared" si="42"/>
        <v>1.7666070114376691E-3</v>
      </c>
      <c r="I747" s="7" t="str">
        <f t="shared" si="40"/>
        <v/>
      </c>
    </row>
    <row r="748" spans="1:9" x14ac:dyDescent="0.25">
      <c r="A748" s="5">
        <v>747</v>
      </c>
      <c r="B748" s="6">
        <v>44644</v>
      </c>
      <c r="C748" s="7">
        <v>178</v>
      </c>
      <c r="D748" s="7">
        <f t="shared" si="41"/>
        <v>1366</v>
      </c>
      <c r="E748" s="7">
        <f t="shared" si="43"/>
        <v>606624</v>
      </c>
      <c r="F748" s="7">
        <f>$L$2-SUM(D748,E748)</f>
        <v>9396151</v>
      </c>
      <c r="G748" s="7" t="str">
        <f t="shared" si="39"/>
        <v/>
      </c>
      <c r="H748" s="7">
        <f t="shared" si="42"/>
        <v>1.6237405707654165E-3</v>
      </c>
      <c r="I748" s="7" t="str">
        <f t="shared" si="40"/>
        <v/>
      </c>
    </row>
    <row r="749" spans="1:9" x14ac:dyDescent="0.25">
      <c r="A749" s="5">
        <v>748</v>
      </c>
      <c r="B749" s="6">
        <v>44645</v>
      </c>
      <c r="C749" s="7">
        <v>183</v>
      </c>
      <c r="D749" s="7">
        <f t="shared" si="41"/>
        <v>1364</v>
      </c>
      <c r="E749" s="7">
        <f t="shared" si="43"/>
        <v>605967</v>
      </c>
      <c r="F749" s="7">
        <f>$L$2-SUM(D749,E749)</f>
        <v>9396810</v>
      </c>
      <c r="G749" s="7" t="str">
        <f t="shared" si="39"/>
        <v/>
      </c>
      <c r="H749" s="7">
        <f t="shared" si="42"/>
        <v>1.3895146105315965E-3</v>
      </c>
      <c r="I749" s="7" t="str">
        <f t="shared" si="40"/>
        <v/>
      </c>
    </row>
    <row r="750" spans="1:9" x14ac:dyDescent="0.25">
      <c r="A750" s="5">
        <v>749</v>
      </c>
      <c r="B750" s="6">
        <v>44646</v>
      </c>
      <c r="C750" s="7">
        <v>184</v>
      </c>
      <c r="D750" s="7">
        <f t="shared" si="41"/>
        <v>1290</v>
      </c>
      <c r="E750" s="7">
        <f t="shared" si="43"/>
        <v>605675</v>
      </c>
      <c r="F750" s="7">
        <f>$L$2-SUM(D750,E750)</f>
        <v>9397176</v>
      </c>
      <c r="G750" s="7">
        <f t="shared" si="39"/>
        <v>6.9588896032676522E-3</v>
      </c>
      <c r="H750" s="7">
        <f t="shared" si="42"/>
        <v>9.0807776447764891E-4</v>
      </c>
      <c r="I750" s="7">
        <f t="shared" si="40"/>
        <v>9.0807776447764891E-4</v>
      </c>
    </row>
  </sheetData>
  <pageMargins left="0.7" right="0.7" top="0.75" bottom="0.75" header="0.3" footer="0.3"/>
  <pageSetup paperSize="9" orientation="portrait" horizontalDpi="1200" verticalDpi="1200" r:id="rId1"/>
  <ignoredErrors>
    <ignoredError sqref="D9:D750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BASE_DATOS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</cp:lastModifiedBy>
  <dcterms:created xsi:type="dcterms:W3CDTF">2022-03-29T06:04:40Z</dcterms:created>
  <dcterms:modified xsi:type="dcterms:W3CDTF">2022-07-11T03:21:34Z</dcterms:modified>
</cp:coreProperties>
</file>